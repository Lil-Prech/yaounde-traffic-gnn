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Dk3c1Svxec780n4-6sJYM8ZrnlYHekdU\237 Transport Research Collab\Paper 1\Publication\Supplementary Data\"/>
    </mc:Choice>
  </mc:AlternateContent>
  <xr:revisionPtr revIDLastSave="0" documentId="13_ncr:1_{62F44C1F-FE4A-4E7F-A3D0-E9BD0E86238F}" xr6:coauthVersionLast="47" xr6:coauthVersionMax="47" xr10:uidLastSave="{00000000-0000-0000-0000-000000000000}"/>
  <bookViews>
    <workbookView xWindow="28680" yWindow="-120" windowWidth="29040" windowHeight="15720" tabRatio="833" xr2:uid="{00000000-000D-0000-FFFF-FFFF00000000}"/>
  </bookViews>
  <sheets>
    <sheet name="Supp. info" sheetId="14" r:id="rId1"/>
    <sheet name="Sat. City Pop." sheetId="13" r:id="rId2"/>
    <sheet name="Vehicle Infos" sheetId="1" r:id="rId3"/>
    <sheet name="Monday Est." sheetId="2" r:id="rId4"/>
    <sheet name="Tuesday Est." sheetId="3" r:id="rId5"/>
    <sheet name="Wednesday Est." sheetId="4" r:id="rId6"/>
    <sheet name="Thursday Est." sheetId="5" r:id="rId7"/>
    <sheet name="Friday Est" sheetId="6" r:id="rId8"/>
    <sheet name="Saturday Est." sheetId="7" r:id="rId9"/>
    <sheet name="Sunday Est." sheetId="8" r:id="rId10"/>
    <sheet name="Data Insights" sheetId="9" r:id="rId11"/>
    <sheet name="Tier 2 Em. per stc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foCzNdBVE3zE0M6AK6+plFWm5fcFMKPt26S4LOy1mQ="/>
    </ext>
  </extLst>
</workbook>
</file>

<file path=xl/calcChain.xml><?xml version="1.0" encoding="utf-8"?>
<calcChain xmlns="http://schemas.openxmlformats.org/spreadsheetml/2006/main">
  <c r="G7" i="13" l="1"/>
  <c r="F7" i="13"/>
  <c r="G6" i="13"/>
  <c r="F6" i="13"/>
  <c r="G5" i="13"/>
  <c r="F5" i="13"/>
  <c r="P7" i="12"/>
  <c r="P8" i="12"/>
  <c r="P9" i="12"/>
  <c r="P10" i="12"/>
  <c r="P11" i="12"/>
  <c r="P6" i="12"/>
  <c r="P12" i="12" l="1"/>
  <c r="F113" i="9"/>
  <c r="F114" i="9"/>
  <c r="F112" i="9"/>
  <c r="U26" i="9"/>
  <c r="AH24" i="9"/>
  <c r="W22" i="9"/>
  <c r="AH18" i="9"/>
  <c r="AG18" i="9"/>
  <c r="AF18" i="9"/>
  <c r="AE18" i="9"/>
  <c r="AD18" i="9"/>
  <c r="AC18" i="9"/>
  <c r="AB18" i="9"/>
  <c r="W18" i="9"/>
  <c r="V18" i="9"/>
  <c r="U18" i="9"/>
  <c r="T18" i="9"/>
  <c r="S18" i="9"/>
  <c r="R18" i="9"/>
  <c r="Q18" i="9"/>
  <c r="AH17" i="9"/>
  <c r="AG17" i="9"/>
  <c r="AF17" i="9"/>
  <c r="AE17" i="9"/>
  <c r="AD17" i="9"/>
  <c r="AC17" i="9"/>
  <c r="AB17" i="9"/>
  <c r="W17" i="9"/>
  <c r="V17" i="9"/>
  <c r="U17" i="9"/>
  <c r="T17" i="9"/>
  <c r="S17" i="9"/>
  <c r="R17" i="9"/>
  <c r="Q17" i="9"/>
  <c r="AH16" i="9"/>
  <c r="AG16" i="9"/>
  <c r="AF16" i="9"/>
  <c r="AE16" i="9"/>
  <c r="AD16" i="9"/>
  <c r="AC16" i="9"/>
  <c r="AB16" i="9"/>
  <c r="W16" i="9"/>
  <c r="V16" i="9"/>
  <c r="U16" i="9"/>
  <c r="T16" i="9"/>
  <c r="S16" i="9"/>
  <c r="R16" i="9"/>
  <c r="Q16" i="9"/>
  <c r="AH15" i="9"/>
  <c r="AG15" i="9"/>
  <c r="AF15" i="9"/>
  <c r="AE15" i="9"/>
  <c r="AD15" i="9"/>
  <c r="AC15" i="9"/>
  <c r="AB15" i="9"/>
  <c r="W15" i="9"/>
  <c r="V15" i="9"/>
  <c r="U15" i="9"/>
  <c r="T15" i="9"/>
  <c r="S15" i="9"/>
  <c r="R15" i="9"/>
  <c r="Q15" i="9"/>
  <c r="AH14" i="9"/>
  <c r="AG14" i="9"/>
  <c r="AF14" i="9"/>
  <c r="AE14" i="9"/>
  <c r="AD14" i="9"/>
  <c r="AC14" i="9"/>
  <c r="AB14" i="9"/>
  <c r="W14" i="9"/>
  <c r="V14" i="9"/>
  <c r="U14" i="9"/>
  <c r="T14" i="9"/>
  <c r="S14" i="9"/>
  <c r="R14" i="9"/>
  <c r="Q14" i="9"/>
  <c r="D9" i="9"/>
  <c r="G86" i="8"/>
  <c r="J26" i="9" s="1"/>
  <c r="P83" i="8"/>
  <c r="W26" i="9" s="1"/>
  <c r="N83" i="8"/>
  <c r="Y81" i="8"/>
  <c r="AH26" i="9" s="1"/>
  <c r="W81" i="8"/>
  <c r="G71" i="8"/>
  <c r="J25" i="9" s="1"/>
  <c r="P68" i="8"/>
  <c r="W25" i="9" s="1"/>
  <c r="N68" i="8"/>
  <c r="Y66" i="8"/>
  <c r="AH25" i="9" s="1"/>
  <c r="W66" i="8"/>
  <c r="G56" i="8"/>
  <c r="J24" i="9" s="1"/>
  <c r="P53" i="8"/>
  <c r="W24" i="9" s="1"/>
  <c r="N53" i="8"/>
  <c r="Y51" i="8"/>
  <c r="W51" i="8"/>
  <c r="G41" i="8"/>
  <c r="J23" i="9" s="1"/>
  <c r="P38" i="8"/>
  <c r="W23" i="9" s="1"/>
  <c r="N38" i="8"/>
  <c r="Y36" i="8"/>
  <c r="AH23" i="9" s="1"/>
  <c r="W36" i="8"/>
  <c r="G26" i="8"/>
  <c r="J22" i="9" s="1"/>
  <c r="N23" i="8"/>
  <c r="Y21" i="8"/>
  <c r="AH22" i="9" s="1"/>
  <c r="W21" i="8"/>
  <c r="D10" i="8"/>
  <c r="D9" i="8"/>
  <c r="D8" i="8"/>
  <c r="D7" i="8"/>
  <c r="D6" i="8"/>
  <c r="G90" i="7"/>
  <c r="I26" i="9" s="1"/>
  <c r="P87" i="7"/>
  <c r="V26" i="9" s="1"/>
  <c r="N87" i="7"/>
  <c r="Y85" i="7"/>
  <c r="AG26" i="9" s="1"/>
  <c r="W85" i="7"/>
  <c r="G74" i="7"/>
  <c r="I25" i="9" s="1"/>
  <c r="P71" i="7"/>
  <c r="V25" i="9" s="1"/>
  <c r="N71" i="7"/>
  <c r="Y69" i="7"/>
  <c r="AG25" i="9" s="1"/>
  <c r="W69" i="7"/>
  <c r="G58" i="7"/>
  <c r="I24" i="9" s="1"/>
  <c r="P55" i="7"/>
  <c r="V24" i="9" s="1"/>
  <c r="N55" i="7"/>
  <c r="Y53" i="7"/>
  <c r="AG24" i="9" s="1"/>
  <c r="W53" i="7"/>
  <c r="G42" i="7"/>
  <c r="I23" i="9" s="1"/>
  <c r="P39" i="7"/>
  <c r="V23" i="9" s="1"/>
  <c r="N39" i="7"/>
  <c r="Y37" i="7"/>
  <c r="AG23" i="9" s="1"/>
  <c r="W37" i="7"/>
  <c r="G26" i="7"/>
  <c r="I22" i="9" s="1"/>
  <c r="P23" i="7"/>
  <c r="V22" i="9" s="1"/>
  <c r="N23" i="7"/>
  <c r="Y21" i="7"/>
  <c r="AG22" i="9" s="1"/>
  <c r="W21" i="7"/>
  <c r="D10" i="7"/>
  <c r="D9" i="7"/>
  <c r="I17" i="9" s="1"/>
  <c r="D8" i="7"/>
  <c r="D7" i="7"/>
  <c r="I15" i="9" s="1"/>
  <c r="D6" i="7"/>
  <c r="G86" i="6"/>
  <c r="H26" i="9" s="1"/>
  <c r="N83" i="6"/>
  <c r="Y81" i="6"/>
  <c r="AF26" i="9" s="1"/>
  <c r="W81" i="6"/>
  <c r="G71" i="6"/>
  <c r="H25" i="9" s="1"/>
  <c r="P68" i="6"/>
  <c r="U25" i="9" s="1"/>
  <c r="N68" i="6"/>
  <c r="Y66" i="6"/>
  <c r="AF25" i="9" s="1"/>
  <c r="W66" i="6"/>
  <c r="G56" i="6"/>
  <c r="H24" i="9" s="1"/>
  <c r="P53" i="6"/>
  <c r="U24" i="9" s="1"/>
  <c r="N53" i="6"/>
  <c r="Y51" i="6"/>
  <c r="AF24" i="9" s="1"/>
  <c r="W51" i="6"/>
  <c r="G41" i="6"/>
  <c r="H23" i="9" s="1"/>
  <c r="P38" i="6"/>
  <c r="U23" i="9" s="1"/>
  <c r="N38" i="6"/>
  <c r="Y36" i="6"/>
  <c r="AF23" i="9" s="1"/>
  <c r="W36" i="6"/>
  <c r="G26" i="6"/>
  <c r="H22" i="9" s="1"/>
  <c r="P23" i="6"/>
  <c r="U22" i="9" s="1"/>
  <c r="N23" i="6"/>
  <c r="Y21" i="6"/>
  <c r="AF22" i="9" s="1"/>
  <c r="W21" i="6"/>
  <c r="D10" i="6"/>
  <c r="H18" i="9" s="1"/>
  <c r="D9" i="6"/>
  <c r="H17" i="9" s="1"/>
  <c r="D8" i="6"/>
  <c r="H16" i="9" s="1"/>
  <c r="D7" i="6"/>
  <c r="D6" i="6"/>
  <c r="H14" i="9" s="1"/>
  <c r="G86" i="5"/>
  <c r="G26" i="9" s="1"/>
  <c r="Q83" i="5"/>
  <c r="T26" i="9" s="1"/>
  <c r="O83" i="5"/>
  <c r="Z81" i="5"/>
  <c r="AE26" i="9" s="1"/>
  <c r="X81" i="5"/>
  <c r="G71" i="5"/>
  <c r="G25" i="9" s="1"/>
  <c r="Q68" i="5"/>
  <c r="T25" i="9" s="1"/>
  <c r="O68" i="5"/>
  <c r="Z66" i="5"/>
  <c r="AE25" i="9" s="1"/>
  <c r="X66" i="5"/>
  <c r="G56" i="5"/>
  <c r="G24" i="9" s="1"/>
  <c r="Q53" i="5"/>
  <c r="T24" i="9" s="1"/>
  <c r="O53" i="5"/>
  <c r="Z51" i="5"/>
  <c r="AE24" i="9" s="1"/>
  <c r="X51" i="5"/>
  <c r="G41" i="5"/>
  <c r="G23" i="9" s="1"/>
  <c r="Q38" i="5"/>
  <c r="T23" i="9" s="1"/>
  <c r="O38" i="5"/>
  <c r="Z36" i="5"/>
  <c r="AE23" i="9" s="1"/>
  <c r="X36" i="5"/>
  <c r="G26" i="5"/>
  <c r="G22" i="9" s="1"/>
  <c r="Q23" i="5"/>
  <c r="T22" i="9" s="1"/>
  <c r="O23" i="5"/>
  <c r="Z21" i="5"/>
  <c r="AE22" i="9" s="1"/>
  <c r="X21" i="5"/>
  <c r="D10" i="5"/>
  <c r="D9" i="5"/>
  <c r="D8" i="5"/>
  <c r="G16" i="9" s="1"/>
  <c r="D7" i="5"/>
  <c r="D6" i="5"/>
  <c r="G86" i="4"/>
  <c r="F26" i="9" s="1"/>
  <c r="P83" i="4"/>
  <c r="S26" i="9" s="1"/>
  <c r="N83" i="4"/>
  <c r="Y81" i="4"/>
  <c r="AD26" i="9" s="1"/>
  <c r="W81" i="4"/>
  <c r="G71" i="4"/>
  <c r="F25" i="9" s="1"/>
  <c r="P68" i="4"/>
  <c r="S25" i="9" s="1"/>
  <c r="N68" i="4"/>
  <c r="Y66" i="4"/>
  <c r="AD25" i="9" s="1"/>
  <c r="W66" i="4"/>
  <c r="G56" i="4"/>
  <c r="F24" i="9" s="1"/>
  <c r="P53" i="4"/>
  <c r="S24" i="9" s="1"/>
  <c r="N53" i="4"/>
  <c r="Y51" i="4"/>
  <c r="AD24" i="9" s="1"/>
  <c r="W51" i="4"/>
  <c r="G41" i="4"/>
  <c r="F23" i="9" s="1"/>
  <c r="P38" i="4"/>
  <c r="S23" i="9" s="1"/>
  <c r="N38" i="4"/>
  <c r="Y36" i="4"/>
  <c r="AD23" i="9" s="1"/>
  <c r="W36" i="4"/>
  <c r="G26" i="4"/>
  <c r="F22" i="9" s="1"/>
  <c r="P23" i="4"/>
  <c r="S22" i="9" s="1"/>
  <c r="N23" i="4"/>
  <c r="Y21" i="4"/>
  <c r="AD22" i="9" s="1"/>
  <c r="W21" i="4"/>
  <c r="D10" i="4"/>
  <c r="F18" i="9" s="1"/>
  <c r="D9" i="4"/>
  <c r="F17" i="9" s="1"/>
  <c r="D8" i="4"/>
  <c r="F16" i="9" s="1"/>
  <c r="D7" i="4"/>
  <c r="D6" i="4"/>
  <c r="F14" i="9" s="1"/>
  <c r="G86" i="3"/>
  <c r="P83" i="3"/>
  <c r="R26" i="9" s="1"/>
  <c r="N83" i="3"/>
  <c r="Y81" i="3"/>
  <c r="AC26" i="9" s="1"/>
  <c r="W81" i="3"/>
  <c r="G71" i="3"/>
  <c r="E25" i="9" s="1"/>
  <c r="P68" i="3"/>
  <c r="R25" i="9" s="1"/>
  <c r="N68" i="3"/>
  <c r="Y66" i="3"/>
  <c r="AC25" i="9" s="1"/>
  <c r="W66" i="3"/>
  <c r="G56" i="3"/>
  <c r="E24" i="9" s="1"/>
  <c r="P53" i="3"/>
  <c r="R24" i="9" s="1"/>
  <c r="N53" i="3"/>
  <c r="Y51" i="3"/>
  <c r="AC24" i="9" s="1"/>
  <c r="W51" i="3"/>
  <c r="G41" i="3"/>
  <c r="E23" i="9" s="1"/>
  <c r="P38" i="3"/>
  <c r="R23" i="9" s="1"/>
  <c r="N38" i="3"/>
  <c r="Y36" i="3"/>
  <c r="AC23" i="9" s="1"/>
  <c r="W36" i="3"/>
  <c r="G26" i="3"/>
  <c r="E22" i="9" s="1"/>
  <c r="P23" i="3"/>
  <c r="R22" i="9" s="1"/>
  <c r="N23" i="3"/>
  <c r="Y21" i="3"/>
  <c r="AC22" i="9" s="1"/>
  <c r="W21" i="3"/>
  <c r="D10" i="3"/>
  <c r="E18" i="9" s="1"/>
  <c r="D9" i="3"/>
  <c r="E17" i="9" s="1"/>
  <c r="D8" i="3"/>
  <c r="E16" i="9" s="1"/>
  <c r="D7" i="3"/>
  <c r="D6" i="3"/>
  <c r="E14" i="9" s="1"/>
  <c r="G83" i="2"/>
  <c r="P80" i="2"/>
  <c r="Q26" i="9" s="1"/>
  <c r="N80" i="2"/>
  <c r="Y78" i="2"/>
  <c r="AB26" i="9" s="1"/>
  <c r="W78" i="2"/>
  <c r="G69" i="2"/>
  <c r="D25" i="9" s="1"/>
  <c r="P66" i="2"/>
  <c r="Q25" i="9" s="1"/>
  <c r="N66" i="2"/>
  <c r="Y64" i="2"/>
  <c r="AB25" i="9" s="1"/>
  <c r="W64" i="2"/>
  <c r="G54" i="2"/>
  <c r="D24" i="9" s="1"/>
  <c r="P51" i="2"/>
  <c r="Q24" i="9" s="1"/>
  <c r="N51" i="2"/>
  <c r="Y49" i="2"/>
  <c r="AB24" i="9" s="1"/>
  <c r="W49" i="2"/>
  <c r="G40" i="2"/>
  <c r="P37" i="2"/>
  <c r="Q23" i="9" s="1"/>
  <c r="N37" i="2"/>
  <c r="AM36" i="2"/>
  <c r="AL36" i="2"/>
  <c r="AK36" i="2"/>
  <c r="AJ36" i="2"/>
  <c r="AI36" i="2"/>
  <c r="AM35" i="2"/>
  <c r="AL35" i="2"/>
  <c r="AK35" i="2"/>
  <c r="AJ35" i="2"/>
  <c r="AI35" i="2"/>
  <c r="Y35" i="2"/>
  <c r="AB23" i="9" s="1"/>
  <c r="W35" i="2"/>
  <c r="AM34" i="2"/>
  <c r="AL34" i="2"/>
  <c r="AK34" i="2"/>
  <c r="AJ34" i="2"/>
  <c r="AI34" i="2"/>
  <c r="AM33" i="2"/>
  <c r="AL33" i="2"/>
  <c r="AK33" i="2"/>
  <c r="AJ33" i="2"/>
  <c r="AI33" i="2"/>
  <c r="AL32" i="2"/>
  <c r="AJ32" i="2"/>
  <c r="AK31" i="2"/>
  <c r="AJ31" i="2"/>
  <c r="AK30" i="2"/>
  <c r="AM28" i="2"/>
  <c r="AL28" i="2"/>
  <c r="AK28" i="2"/>
  <c r="AJ28" i="2"/>
  <c r="G26" i="2"/>
  <c r="P23" i="2"/>
  <c r="Q22" i="9" s="1"/>
  <c r="N23" i="2"/>
  <c r="E9" i="9" s="1"/>
  <c r="Y21" i="2"/>
  <c r="AB22" i="9" s="1"/>
  <c r="W21" i="2"/>
  <c r="F9" i="9" s="1"/>
  <c r="D10" i="2"/>
  <c r="D18" i="9" s="1"/>
  <c r="D9" i="2"/>
  <c r="D17" i="9" s="1"/>
  <c r="D8" i="2"/>
  <c r="D7" i="2"/>
  <c r="D6" i="2"/>
  <c r="D14" i="9" s="1"/>
  <c r="L29" i="1"/>
  <c r="AA18" i="4" s="1"/>
  <c r="K29" i="1"/>
  <c r="Z76" i="3" s="1"/>
  <c r="AC59" i="9" s="1"/>
  <c r="AC83" i="9" s="1"/>
  <c r="I29" i="1"/>
  <c r="L21" i="1"/>
  <c r="R81" i="4" s="1"/>
  <c r="K21" i="1"/>
  <c r="Q32" i="7" s="1"/>
  <c r="V56" i="9" s="1"/>
  <c r="V80" i="9" s="1"/>
  <c r="I21" i="1"/>
  <c r="L10" i="1"/>
  <c r="I62" i="4" s="1"/>
  <c r="K10" i="1"/>
  <c r="H16" i="8" s="1"/>
  <c r="J10" i="1"/>
  <c r="I10" i="1"/>
  <c r="AJ22" i="9" l="1"/>
  <c r="Y23" i="9"/>
  <c r="AJ26" i="9"/>
  <c r="R27" i="9"/>
  <c r="T27" i="9"/>
  <c r="I27" i="9"/>
  <c r="AJ23" i="9"/>
  <c r="V27" i="9"/>
  <c r="AJ24" i="9"/>
  <c r="Y26" i="9"/>
  <c r="Y24" i="9"/>
  <c r="L17" i="9"/>
  <c r="W27" i="9"/>
  <c r="J27" i="9"/>
  <c r="S27" i="9"/>
  <c r="AJ25" i="9"/>
  <c r="G27" i="9"/>
  <c r="U27" i="9"/>
  <c r="F27" i="9"/>
  <c r="Y25" i="9"/>
  <c r="Q27" i="9"/>
  <c r="Y22" i="9"/>
  <c r="H27" i="9"/>
  <c r="Q59" i="2"/>
  <c r="AL46" i="2" s="1"/>
  <c r="I18" i="2"/>
  <c r="I26" i="2"/>
  <c r="I36" i="2"/>
  <c r="I51" i="2"/>
  <c r="I69" i="2"/>
  <c r="I61" i="2"/>
  <c r="I78" i="2"/>
  <c r="R20" i="2"/>
  <c r="R35" i="2"/>
  <c r="R49" i="2"/>
  <c r="R64" i="2"/>
  <c r="R78" i="2"/>
  <c r="AA19" i="2"/>
  <c r="AA31" i="2"/>
  <c r="AA64" i="2"/>
  <c r="AA76" i="2"/>
  <c r="I22" i="3"/>
  <c r="I40" i="3"/>
  <c r="I32" i="3"/>
  <c r="I50" i="3"/>
  <c r="I68" i="3"/>
  <c r="I86" i="3"/>
  <c r="E67" i="9" s="1"/>
  <c r="E90" i="9" s="1"/>
  <c r="I78" i="3"/>
  <c r="R18" i="3"/>
  <c r="R33" i="3"/>
  <c r="R61" i="3"/>
  <c r="R82" i="3"/>
  <c r="AA31" i="3"/>
  <c r="AA48" i="3"/>
  <c r="I26" i="4"/>
  <c r="F63" i="9" s="1"/>
  <c r="F86" i="9" s="1"/>
  <c r="I53" i="4"/>
  <c r="R21" i="4"/>
  <c r="R79" i="8"/>
  <c r="R64" i="8"/>
  <c r="R49" i="8"/>
  <c r="R34" i="8"/>
  <c r="R19" i="8"/>
  <c r="R86" i="7"/>
  <c r="R70" i="7"/>
  <c r="R54" i="7"/>
  <c r="R38" i="7"/>
  <c r="R22" i="7"/>
  <c r="R77" i="6"/>
  <c r="R62" i="6"/>
  <c r="R47" i="6"/>
  <c r="R32" i="6"/>
  <c r="R17" i="6"/>
  <c r="S80" i="5"/>
  <c r="S65" i="5"/>
  <c r="S50" i="5"/>
  <c r="S35" i="5"/>
  <c r="S20" i="5"/>
  <c r="R83" i="4"/>
  <c r="R68" i="4"/>
  <c r="S66" i="9" s="1"/>
  <c r="S89" i="9" s="1"/>
  <c r="R53" i="4"/>
  <c r="R38" i="4"/>
  <c r="R23" i="4"/>
  <c r="S63" i="9" s="1"/>
  <c r="S86" i="9" s="1"/>
  <c r="R80" i="8"/>
  <c r="R65" i="8"/>
  <c r="R50" i="8"/>
  <c r="R35" i="8"/>
  <c r="R20" i="8"/>
  <c r="R87" i="7"/>
  <c r="V67" i="9" s="1"/>
  <c r="V90" i="9" s="1"/>
  <c r="R71" i="7"/>
  <c r="R55" i="7"/>
  <c r="R39" i="7"/>
  <c r="R23" i="7"/>
  <c r="V63" i="9" s="1"/>
  <c r="V86" i="9" s="1"/>
  <c r="R78" i="6"/>
  <c r="R63" i="6"/>
  <c r="R48" i="6"/>
  <c r="R33" i="6"/>
  <c r="R18" i="6"/>
  <c r="S81" i="5"/>
  <c r="S66" i="5"/>
  <c r="S51" i="5"/>
  <c r="S36" i="5"/>
  <c r="S21" i="5"/>
  <c r="R76" i="4"/>
  <c r="R61" i="4"/>
  <c r="R46" i="4"/>
  <c r="R31" i="4"/>
  <c r="R16" i="4"/>
  <c r="R79" i="3"/>
  <c r="R64" i="3"/>
  <c r="R49" i="3"/>
  <c r="R81" i="8"/>
  <c r="R66" i="8"/>
  <c r="R51" i="8"/>
  <c r="R36" i="8"/>
  <c r="R21" i="8"/>
  <c r="R80" i="7"/>
  <c r="R64" i="7"/>
  <c r="R48" i="7"/>
  <c r="R32" i="7"/>
  <c r="R16" i="7"/>
  <c r="R79" i="6"/>
  <c r="R64" i="6"/>
  <c r="R49" i="6"/>
  <c r="R34" i="6"/>
  <c r="R19" i="6"/>
  <c r="S82" i="5"/>
  <c r="S67" i="5"/>
  <c r="S52" i="5"/>
  <c r="S37" i="5"/>
  <c r="S22" i="5"/>
  <c r="S11" i="12" s="1"/>
  <c r="R77" i="4"/>
  <c r="R62" i="4"/>
  <c r="R47" i="4"/>
  <c r="R32" i="4"/>
  <c r="R17" i="4"/>
  <c r="R82" i="8"/>
  <c r="R67" i="8"/>
  <c r="R52" i="8"/>
  <c r="R37" i="8"/>
  <c r="R22" i="8"/>
  <c r="R81" i="7"/>
  <c r="R65" i="7"/>
  <c r="R49" i="7"/>
  <c r="R33" i="7"/>
  <c r="R17" i="7"/>
  <c r="R80" i="6"/>
  <c r="R65" i="6"/>
  <c r="R50" i="6"/>
  <c r="R35" i="6"/>
  <c r="R20" i="6"/>
  <c r="S83" i="5"/>
  <c r="T67" i="9" s="1"/>
  <c r="T90" i="9" s="1"/>
  <c r="S68" i="5"/>
  <c r="S53" i="5"/>
  <c r="T65" i="9" s="1"/>
  <c r="T88" i="9" s="1"/>
  <c r="S38" i="5"/>
  <c r="T64" i="9" s="1"/>
  <c r="T87" i="9" s="1"/>
  <c r="S23" i="5"/>
  <c r="T63" i="9" s="1"/>
  <c r="T86" i="9" s="1"/>
  <c r="R78" i="4"/>
  <c r="R63" i="4"/>
  <c r="R48" i="4"/>
  <c r="R33" i="4"/>
  <c r="R18" i="4"/>
  <c r="R7" i="12" s="1"/>
  <c r="R81" i="3"/>
  <c r="R66" i="3"/>
  <c r="R51" i="3"/>
  <c r="R83" i="8"/>
  <c r="R68" i="8"/>
  <c r="R53" i="8"/>
  <c r="W65" i="9" s="1"/>
  <c r="W88" i="9" s="1"/>
  <c r="R38" i="8"/>
  <c r="W64" i="9" s="1"/>
  <c r="W87" i="9" s="1"/>
  <c r="R23" i="8"/>
  <c r="R82" i="7"/>
  <c r="R66" i="7"/>
  <c r="R50" i="7"/>
  <c r="R34" i="7"/>
  <c r="R18" i="7"/>
  <c r="R81" i="6"/>
  <c r="R66" i="6"/>
  <c r="R51" i="6"/>
  <c r="R36" i="6"/>
  <c r="R21" i="6"/>
  <c r="T10" i="12" s="1"/>
  <c r="S76" i="5"/>
  <c r="S61" i="5"/>
  <c r="S46" i="5"/>
  <c r="S31" i="5"/>
  <c r="S16" i="5"/>
  <c r="R79" i="4"/>
  <c r="R64" i="4"/>
  <c r="R49" i="4"/>
  <c r="R34" i="4"/>
  <c r="R19" i="4"/>
  <c r="R76" i="8"/>
  <c r="R61" i="8"/>
  <c r="R46" i="8"/>
  <c r="R31" i="8"/>
  <c r="R16" i="8"/>
  <c r="R83" i="7"/>
  <c r="R67" i="7"/>
  <c r="R51" i="7"/>
  <c r="R35" i="7"/>
  <c r="R19" i="7"/>
  <c r="R82" i="6"/>
  <c r="R67" i="6"/>
  <c r="R52" i="6"/>
  <c r="R37" i="6"/>
  <c r="R22" i="6"/>
  <c r="T11" i="12" s="1"/>
  <c r="S77" i="5"/>
  <c r="S62" i="5"/>
  <c r="S47" i="5"/>
  <c r="S32" i="5"/>
  <c r="S17" i="5"/>
  <c r="S6" i="12" s="1"/>
  <c r="R77" i="8"/>
  <c r="R62" i="8"/>
  <c r="R47" i="8"/>
  <c r="R32" i="8"/>
  <c r="R17" i="8"/>
  <c r="V6" i="12" s="1"/>
  <c r="R84" i="7"/>
  <c r="R68" i="7"/>
  <c r="R52" i="7"/>
  <c r="R36" i="7"/>
  <c r="R20" i="7"/>
  <c r="R83" i="6"/>
  <c r="U67" i="9" s="1"/>
  <c r="U90" i="9" s="1"/>
  <c r="R68" i="6"/>
  <c r="U66" i="9" s="1"/>
  <c r="U89" i="9" s="1"/>
  <c r="R53" i="6"/>
  <c r="R38" i="6"/>
  <c r="U64" i="9" s="1"/>
  <c r="U87" i="9" s="1"/>
  <c r="R23" i="6"/>
  <c r="U63" i="9" s="1"/>
  <c r="U86" i="9" s="1"/>
  <c r="S78" i="5"/>
  <c r="S63" i="5"/>
  <c r="S48" i="5"/>
  <c r="S33" i="5"/>
  <c r="S18" i="5"/>
  <c r="R78" i="8"/>
  <c r="R63" i="8"/>
  <c r="R48" i="8"/>
  <c r="R33" i="8"/>
  <c r="R18" i="8"/>
  <c r="R85" i="7"/>
  <c r="R69" i="7"/>
  <c r="R53" i="7"/>
  <c r="R37" i="7"/>
  <c r="R21" i="7"/>
  <c r="R76" i="6"/>
  <c r="R61" i="6"/>
  <c r="R46" i="6"/>
  <c r="R31" i="6"/>
  <c r="R16" i="6"/>
  <c r="S79" i="5"/>
  <c r="S64" i="5"/>
  <c r="S49" i="5"/>
  <c r="S34" i="5"/>
  <c r="S19" i="5"/>
  <c r="R82" i="4"/>
  <c r="R67" i="4"/>
  <c r="R52" i="4"/>
  <c r="R37" i="4"/>
  <c r="R22" i="4"/>
  <c r="Z16" i="3"/>
  <c r="AC55" i="9" s="1"/>
  <c r="AC79" i="9" s="1"/>
  <c r="I25" i="2"/>
  <c r="I16" i="2"/>
  <c r="I35" i="2"/>
  <c r="I50" i="2"/>
  <c r="I68" i="2"/>
  <c r="I60" i="2"/>
  <c r="I77" i="2"/>
  <c r="R19" i="2"/>
  <c r="R34" i="2"/>
  <c r="R48" i="2"/>
  <c r="R63" i="2"/>
  <c r="R77" i="2"/>
  <c r="AA18" i="2"/>
  <c r="AA44" i="2"/>
  <c r="AA63" i="2"/>
  <c r="AA75" i="2"/>
  <c r="I21" i="3"/>
  <c r="I39" i="3"/>
  <c r="I46" i="3"/>
  <c r="I49" i="3"/>
  <c r="I67" i="3"/>
  <c r="I85" i="3"/>
  <c r="I77" i="3"/>
  <c r="R17" i="3"/>
  <c r="R32" i="3"/>
  <c r="R68" i="3"/>
  <c r="R66" i="9" s="1"/>
  <c r="R89" i="9" s="1"/>
  <c r="R80" i="3"/>
  <c r="AA36" i="3"/>
  <c r="AA47" i="3"/>
  <c r="I25" i="4"/>
  <c r="I52" i="4"/>
  <c r="R20" i="4"/>
  <c r="R80" i="4"/>
  <c r="Z16" i="2"/>
  <c r="Z21" i="2" s="1"/>
  <c r="AB55" i="9" s="1"/>
  <c r="AB79" i="9" s="1"/>
  <c r="Q44" i="2"/>
  <c r="AK46" i="2" s="1"/>
  <c r="I24" i="2"/>
  <c r="I30" i="2"/>
  <c r="I34" i="2"/>
  <c r="I49" i="2"/>
  <c r="I67" i="2"/>
  <c r="I73" i="2"/>
  <c r="I76" i="2"/>
  <c r="R18" i="2"/>
  <c r="R33" i="2"/>
  <c r="R47" i="2"/>
  <c r="R62" i="2"/>
  <c r="R76" i="2"/>
  <c r="AA17" i="2"/>
  <c r="AA49" i="2"/>
  <c r="AB65" i="9" s="1"/>
  <c r="AA62" i="2"/>
  <c r="AA74" i="2"/>
  <c r="I20" i="3"/>
  <c r="I38" i="3"/>
  <c r="I56" i="3"/>
  <c r="I48" i="3"/>
  <c r="I66" i="3"/>
  <c r="I84" i="3"/>
  <c r="R16" i="3"/>
  <c r="R31" i="3"/>
  <c r="R46" i="3"/>
  <c r="R67" i="3"/>
  <c r="R78" i="3"/>
  <c r="AA35" i="3"/>
  <c r="AA61" i="3"/>
  <c r="I24" i="4"/>
  <c r="I71" i="4"/>
  <c r="F66" i="9" s="1"/>
  <c r="F89" i="9" s="1"/>
  <c r="R36" i="4"/>
  <c r="AA19" i="4"/>
  <c r="Z46" i="4"/>
  <c r="AD57" i="9" s="1"/>
  <c r="AD81" i="9" s="1"/>
  <c r="I23" i="2"/>
  <c r="I31" i="2"/>
  <c r="I33" i="2"/>
  <c r="I48" i="2"/>
  <c r="I66" i="2"/>
  <c r="I83" i="2"/>
  <c r="I75" i="2"/>
  <c r="R17" i="2"/>
  <c r="R32" i="2"/>
  <c r="R46" i="2"/>
  <c r="R61" i="2"/>
  <c r="R75" i="2"/>
  <c r="AA30" i="2"/>
  <c r="AA48" i="2"/>
  <c r="AA61" i="2"/>
  <c r="I16" i="3"/>
  <c r="I19" i="3"/>
  <c r="I37" i="3"/>
  <c r="I55" i="3"/>
  <c r="I47" i="3"/>
  <c r="I65" i="3"/>
  <c r="I83" i="3"/>
  <c r="R23" i="3"/>
  <c r="R63" i="9" s="1"/>
  <c r="R86" i="9" s="1"/>
  <c r="R38" i="3"/>
  <c r="R64" i="9" s="1"/>
  <c r="R87" i="9" s="1"/>
  <c r="R53" i="3"/>
  <c r="R65" i="3"/>
  <c r="R77" i="3"/>
  <c r="AA34" i="3"/>
  <c r="AA65" i="3"/>
  <c r="I23" i="4"/>
  <c r="I70" i="4"/>
  <c r="R35" i="4"/>
  <c r="AA77" i="8"/>
  <c r="AA64" i="8"/>
  <c r="AA51" i="8"/>
  <c r="AH65" i="9" s="1"/>
  <c r="AH88" i="9" s="1"/>
  <c r="AA17" i="8"/>
  <c r="AI6" i="12" s="1"/>
  <c r="AA84" i="7"/>
  <c r="AA64" i="7"/>
  <c r="AA34" i="7"/>
  <c r="AA20" i="7"/>
  <c r="AA62" i="6"/>
  <c r="AA49" i="6"/>
  <c r="AA36" i="6"/>
  <c r="AF64" i="9" s="1"/>
  <c r="AF87" i="9" s="1"/>
  <c r="AB78" i="5"/>
  <c r="AB65" i="5"/>
  <c r="AB46" i="5"/>
  <c r="AB18" i="5"/>
  <c r="AF7" i="12" s="1"/>
  <c r="AA81" i="4"/>
  <c r="AD67" i="9" s="1"/>
  <c r="AD90" i="9" s="1"/>
  <c r="AA47" i="4"/>
  <c r="AA34" i="4"/>
  <c r="AA21" i="4"/>
  <c r="AA63" i="3"/>
  <c r="AA78" i="8"/>
  <c r="AA65" i="8"/>
  <c r="AA46" i="8"/>
  <c r="AA18" i="8"/>
  <c r="AA85" i="7"/>
  <c r="AG67" i="9" s="1"/>
  <c r="AG90" i="9" s="1"/>
  <c r="AA49" i="7"/>
  <c r="AA35" i="7"/>
  <c r="AA21" i="7"/>
  <c r="AG63" i="9" s="1"/>
  <c r="AG86" i="9" s="1"/>
  <c r="AA63" i="6"/>
  <c r="AA50" i="6"/>
  <c r="AA31" i="6"/>
  <c r="AB79" i="5"/>
  <c r="AB66" i="5"/>
  <c r="AE66" i="9" s="1"/>
  <c r="AE89" i="9" s="1"/>
  <c r="AB32" i="5"/>
  <c r="AB19" i="5"/>
  <c r="AA76" i="4"/>
  <c r="AA48" i="4"/>
  <c r="AA35" i="4"/>
  <c r="AA16" i="4"/>
  <c r="AA77" i="3"/>
  <c r="AA64" i="3"/>
  <c r="AA51" i="3"/>
  <c r="AA17" i="3"/>
  <c r="AA79" i="8"/>
  <c r="AA66" i="8"/>
  <c r="AH66" i="9" s="1"/>
  <c r="AH89" i="9" s="1"/>
  <c r="AA32" i="8"/>
  <c r="AA19" i="8"/>
  <c r="AA80" i="7"/>
  <c r="AA50" i="7"/>
  <c r="AA36" i="7"/>
  <c r="AA16" i="7"/>
  <c r="AH5" i="12" s="1"/>
  <c r="AA77" i="6"/>
  <c r="AA64" i="6"/>
  <c r="AA51" i="6"/>
  <c r="AA17" i="6"/>
  <c r="AB80" i="5"/>
  <c r="AB61" i="5"/>
  <c r="AB33" i="5"/>
  <c r="AB20" i="5"/>
  <c r="AA62" i="4"/>
  <c r="AA49" i="4"/>
  <c r="AA36" i="4"/>
  <c r="AD64" i="9" s="1"/>
  <c r="AD87" i="9" s="1"/>
  <c r="AA78" i="3"/>
  <c r="AA80" i="8"/>
  <c r="AA61" i="8"/>
  <c r="AA33" i="8"/>
  <c r="AA20" i="8"/>
  <c r="AA65" i="7"/>
  <c r="AA51" i="7"/>
  <c r="AA37" i="7"/>
  <c r="AA78" i="6"/>
  <c r="AA65" i="6"/>
  <c r="AA46" i="6"/>
  <c r="AA18" i="6"/>
  <c r="AB81" i="5"/>
  <c r="AE67" i="9" s="1"/>
  <c r="AE90" i="9" s="1"/>
  <c r="AB47" i="5"/>
  <c r="AB34" i="5"/>
  <c r="AB21" i="5"/>
  <c r="AA63" i="4"/>
  <c r="AA50" i="4"/>
  <c r="AA31" i="4"/>
  <c r="AA79" i="3"/>
  <c r="AA66" i="3"/>
  <c r="AC66" i="9" s="1"/>
  <c r="AC89" i="9" s="1"/>
  <c r="AA32" i="3"/>
  <c r="AA19" i="3"/>
  <c r="AA81" i="8"/>
  <c r="AH67" i="9" s="1"/>
  <c r="AH90" i="9" s="1"/>
  <c r="AA47" i="8"/>
  <c r="AA34" i="8"/>
  <c r="AA21" i="8"/>
  <c r="AH63" i="9" s="1"/>
  <c r="AH86" i="9" s="1"/>
  <c r="AA66" i="7"/>
  <c r="AA52" i="7"/>
  <c r="AA32" i="7"/>
  <c r="AA79" i="6"/>
  <c r="AA66" i="6"/>
  <c r="AA32" i="6"/>
  <c r="AA19" i="6"/>
  <c r="AB76" i="5"/>
  <c r="AB48" i="5"/>
  <c r="AB35" i="5"/>
  <c r="AB16" i="5"/>
  <c r="AF5" i="12" s="1"/>
  <c r="AA77" i="4"/>
  <c r="AA64" i="4"/>
  <c r="AA51" i="4"/>
  <c r="AA17" i="4"/>
  <c r="AA76" i="8"/>
  <c r="AA48" i="8"/>
  <c r="AA35" i="8"/>
  <c r="AA16" i="8"/>
  <c r="AA81" i="7"/>
  <c r="AA67" i="7"/>
  <c r="AA53" i="7"/>
  <c r="AG65" i="9" s="1"/>
  <c r="AG88" i="9" s="1"/>
  <c r="AA17" i="7"/>
  <c r="AH6" i="12" s="1"/>
  <c r="AA80" i="6"/>
  <c r="AA61" i="6"/>
  <c r="AA33" i="6"/>
  <c r="AA20" i="6"/>
  <c r="AB62" i="5"/>
  <c r="AB49" i="5"/>
  <c r="AB36" i="5"/>
  <c r="AE64" i="9" s="1"/>
  <c r="AE87" i="9" s="1"/>
  <c r="AA78" i="4"/>
  <c r="AA62" i="8"/>
  <c r="AA49" i="8"/>
  <c r="AA36" i="8"/>
  <c r="AH64" i="9" s="1"/>
  <c r="AH87" i="9" s="1"/>
  <c r="AA82" i="7"/>
  <c r="AA68" i="7"/>
  <c r="AA48" i="7"/>
  <c r="AA18" i="7"/>
  <c r="AA81" i="6"/>
  <c r="AF67" i="9" s="1"/>
  <c r="AF90" i="9" s="1"/>
  <c r="AA47" i="6"/>
  <c r="AA34" i="6"/>
  <c r="AA21" i="6"/>
  <c r="AF63" i="9" s="1"/>
  <c r="AF86" i="9" s="1"/>
  <c r="AB63" i="5"/>
  <c r="AB50" i="5"/>
  <c r="AB31" i="5"/>
  <c r="AA79" i="4"/>
  <c r="AA63" i="8"/>
  <c r="AA50" i="8"/>
  <c r="AA31" i="8"/>
  <c r="AA83" i="7"/>
  <c r="AA69" i="7"/>
  <c r="AG66" i="9" s="1"/>
  <c r="AG89" i="9" s="1"/>
  <c r="AA33" i="7"/>
  <c r="AA19" i="7"/>
  <c r="AA76" i="6"/>
  <c r="AA48" i="6"/>
  <c r="AA35" i="6"/>
  <c r="AA16" i="6"/>
  <c r="AB77" i="5"/>
  <c r="AB64" i="5"/>
  <c r="AB51" i="5"/>
  <c r="AE65" i="9" s="1"/>
  <c r="AE88" i="9" s="1"/>
  <c r="AB17" i="5"/>
  <c r="AA80" i="4"/>
  <c r="AA61" i="4"/>
  <c r="AA33" i="4"/>
  <c r="AE7" i="12" s="1"/>
  <c r="AA20" i="4"/>
  <c r="Q46" i="3"/>
  <c r="Q53" i="3" s="1"/>
  <c r="I22" i="2"/>
  <c r="I40" i="2"/>
  <c r="I32" i="2"/>
  <c r="I47" i="2"/>
  <c r="I65" i="2"/>
  <c r="I82" i="2"/>
  <c r="I74" i="2"/>
  <c r="R23" i="2"/>
  <c r="R31" i="2"/>
  <c r="R45" i="2"/>
  <c r="R60" i="2"/>
  <c r="R74" i="2"/>
  <c r="AA35" i="2"/>
  <c r="AB64" i="9" s="1"/>
  <c r="AA47" i="2"/>
  <c r="AA60" i="2"/>
  <c r="I26" i="3"/>
  <c r="E63" i="9" s="1"/>
  <c r="E86" i="9" s="1"/>
  <c r="I18" i="3"/>
  <c r="D7" i="12" s="1"/>
  <c r="I36" i="3"/>
  <c r="I54" i="3"/>
  <c r="I61" i="3"/>
  <c r="I64" i="3"/>
  <c r="I82" i="3"/>
  <c r="R22" i="3"/>
  <c r="R37" i="3"/>
  <c r="R52" i="3"/>
  <c r="R63" i="3"/>
  <c r="AA16" i="3"/>
  <c r="AD5" i="12" s="1"/>
  <c r="AA33" i="3"/>
  <c r="AA62" i="3"/>
  <c r="I17" i="4"/>
  <c r="I63" i="4"/>
  <c r="R51" i="4"/>
  <c r="AA32" i="4"/>
  <c r="I21" i="2"/>
  <c r="C10" i="12" s="1"/>
  <c r="I39" i="2"/>
  <c r="I44" i="2"/>
  <c r="I46" i="2"/>
  <c r="I64" i="2"/>
  <c r="I81" i="2"/>
  <c r="R16" i="2"/>
  <c r="R30" i="2"/>
  <c r="R44" i="2"/>
  <c r="R59" i="2"/>
  <c r="R73" i="2"/>
  <c r="AA16" i="2"/>
  <c r="AA34" i="2"/>
  <c r="AA46" i="2"/>
  <c r="AA73" i="2"/>
  <c r="I25" i="3"/>
  <c r="I17" i="3"/>
  <c r="D6" i="12" s="1"/>
  <c r="I35" i="3"/>
  <c r="I53" i="3"/>
  <c r="I71" i="3"/>
  <c r="E66" i="9" s="1"/>
  <c r="E89" i="9" s="1"/>
  <c r="I63" i="3"/>
  <c r="I81" i="3"/>
  <c r="R21" i="3"/>
  <c r="R36" i="3"/>
  <c r="R50" i="3"/>
  <c r="R62" i="3"/>
  <c r="AA21" i="3"/>
  <c r="AA46" i="3"/>
  <c r="AA76" i="3"/>
  <c r="I31" i="4"/>
  <c r="R50" i="4"/>
  <c r="AA46" i="4"/>
  <c r="I79" i="8"/>
  <c r="I76" i="8"/>
  <c r="I69" i="8"/>
  <c r="I51" i="8"/>
  <c r="I33" i="8"/>
  <c r="I41" i="8"/>
  <c r="I23" i="8"/>
  <c r="I86" i="7"/>
  <c r="I67" i="7"/>
  <c r="I64" i="7"/>
  <c r="I56" i="7"/>
  <c r="I37" i="7"/>
  <c r="I18" i="7"/>
  <c r="I26" i="7"/>
  <c r="I77" i="6"/>
  <c r="I85" i="6"/>
  <c r="I67" i="6"/>
  <c r="I49" i="6"/>
  <c r="I46" i="6"/>
  <c r="I39" i="6"/>
  <c r="I21" i="6"/>
  <c r="I80" i="5"/>
  <c r="I62" i="5"/>
  <c r="I70" i="5"/>
  <c r="I52" i="5"/>
  <c r="I34" i="5"/>
  <c r="I31" i="5"/>
  <c r="I24" i="5"/>
  <c r="I83" i="4"/>
  <c r="I65" i="4"/>
  <c r="I47" i="4"/>
  <c r="I55" i="4"/>
  <c r="I37" i="4"/>
  <c r="I19" i="4"/>
  <c r="I16" i="4"/>
  <c r="I80" i="8"/>
  <c r="I62" i="8"/>
  <c r="I70" i="8"/>
  <c r="I52" i="8"/>
  <c r="I34" i="8"/>
  <c r="I31" i="8"/>
  <c r="I24" i="8"/>
  <c r="I87" i="7"/>
  <c r="I68" i="7"/>
  <c r="I49" i="7"/>
  <c r="I57" i="7"/>
  <c r="I38" i="7"/>
  <c r="I19" i="7"/>
  <c r="I16" i="7"/>
  <c r="I78" i="6"/>
  <c r="I86" i="6"/>
  <c r="H67" i="9" s="1"/>
  <c r="H90" i="9" s="1"/>
  <c r="I68" i="6"/>
  <c r="I50" i="6"/>
  <c r="I32" i="6"/>
  <c r="I40" i="6"/>
  <c r="I22" i="6"/>
  <c r="I81" i="5"/>
  <c r="I63" i="5"/>
  <c r="I71" i="5"/>
  <c r="I53" i="5"/>
  <c r="I35" i="5"/>
  <c r="I17" i="5"/>
  <c r="I25" i="5"/>
  <c r="I84" i="4"/>
  <c r="I66" i="4"/>
  <c r="I48" i="4"/>
  <c r="I56" i="4"/>
  <c r="I38" i="4"/>
  <c r="I20" i="4"/>
  <c r="E9" i="12" s="1"/>
  <c r="I81" i="8"/>
  <c r="I63" i="8"/>
  <c r="I71" i="8"/>
  <c r="J66" i="9" s="1"/>
  <c r="J89" i="9" s="1"/>
  <c r="I53" i="8"/>
  <c r="I35" i="8"/>
  <c r="I17" i="8"/>
  <c r="I25" i="8"/>
  <c r="I88" i="7"/>
  <c r="I69" i="7"/>
  <c r="I50" i="7"/>
  <c r="I58" i="7"/>
  <c r="I65" i="9" s="1"/>
  <c r="I88" i="9" s="1"/>
  <c r="I39" i="7"/>
  <c r="I20" i="7"/>
  <c r="I79" i="6"/>
  <c r="I76" i="6"/>
  <c r="I69" i="6"/>
  <c r="I51" i="6"/>
  <c r="I33" i="6"/>
  <c r="I41" i="6"/>
  <c r="H64" i="9" s="1"/>
  <c r="H87" i="9" s="1"/>
  <c r="I23" i="6"/>
  <c r="I82" i="5"/>
  <c r="I64" i="5"/>
  <c r="I61" i="5"/>
  <c r="I54" i="5"/>
  <c r="I36" i="5"/>
  <c r="I18" i="5"/>
  <c r="I26" i="5"/>
  <c r="G63" i="9" s="1"/>
  <c r="G86" i="9" s="1"/>
  <c r="I77" i="4"/>
  <c r="I85" i="4"/>
  <c r="I67" i="4"/>
  <c r="I49" i="4"/>
  <c r="I46" i="4"/>
  <c r="I39" i="4"/>
  <c r="I21" i="4"/>
  <c r="I82" i="8"/>
  <c r="I64" i="8"/>
  <c r="I61" i="8"/>
  <c r="I54" i="8"/>
  <c r="I36" i="8"/>
  <c r="I18" i="8"/>
  <c r="I26" i="8"/>
  <c r="J63" i="9" s="1"/>
  <c r="J86" i="9" s="1"/>
  <c r="I81" i="7"/>
  <c r="I89" i="7"/>
  <c r="I70" i="7"/>
  <c r="I51" i="7"/>
  <c r="I48" i="7"/>
  <c r="I40" i="7"/>
  <c r="I21" i="7"/>
  <c r="I80" i="6"/>
  <c r="I62" i="6"/>
  <c r="I70" i="6"/>
  <c r="I52" i="6"/>
  <c r="I34" i="6"/>
  <c r="I31" i="6"/>
  <c r="I24" i="6"/>
  <c r="G13" i="12" s="1"/>
  <c r="I83" i="5"/>
  <c r="I65" i="5"/>
  <c r="I47" i="5"/>
  <c r="I55" i="5"/>
  <c r="I37" i="5"/>
  <c r="I19" i="5"/>
  <c r="F8" i="12" s="1"/>
  <c r="I16" i="5"/>
  <c r="I78" i="4"/>
  <c r="I86" i="4"/>
  <c r="I68" i="4"/>
  <c r="I50" i="4"/>
  <c r="I32" i="4"/>
  <c r="I40" i="4"/>
  <c r="I22" i="4"/>
  <c r="I83" i="8"/>
  <c r="I65" i="8"/>
  <c r="I47" i="8"/>
  <c r="I55" i="8"/>
  <c r="I37" i="8"/>
  <c r="I19" i="8"/>
  <c r="I8" i="12" s="1"/>
  <c r="I16" i="8"/>
  <c r="I82" i="7"/>
  <c r="I90" i="7"/>
  <c r="I67" i="9" s="1"/>
  <c r="I90" i="9" s="1"/>
  <c r="I71" i="7"/>
  <c r="I52" i="7"/>
  <c r="I33" i="7"/>
  <c r="I41" i="7"/>
  <c r="I22" i="7"/>
  <c r="I81" i="6"/>
  <c r="I63" i="6"/>
  <c r="I71" i="6"/>
  <c r="H66" i="9" s="1"/>
  <c r="H89" i="9" s="1"/>
  <c r="I53" i="6"/>
  <c r="I35" i="6"/>
  <c r="I17" i="6"/>
  <c r="I25" i="6"/>
  <c r="I84" i="5"/>
  <c r="I66" i="5"/>
  <c r="I48" i="5"/>
  <c r="I56" i="5"/>
  <c r="G65" i="9" s="1"/>
  <c r="G88" i="9" s="1"/>
  <c r="I38" i="5"/>
  <c r="I20" i="5"/>
  <c r="I79" i="4"/>
  <c r="I76" i="4"/>
  <c r="I69" i="4"/>
  <c r="I51" i="4"/>
  <c r="I33" i="4"/>
  <c r="I41" i="4"/>
  <c r="F64" i="9" s="1"/>
  <c r="F87" i="9" s="1"/>
  <c r="I84" i="8"/>
  <c r="I66" i="8"/>
  <c r="I48" i="8"/>
  <c r="I56" i="8"/>
  <c r="J65" i="9" s="1"/>
  <c r="J88" i="9" s="1"/>
  <c r="I38" i="8"/>
  <c r="I20" i="8"/>
  <c r="I83" i="7"/>
  <c r="I80" i="7"/>
  <c r="I72" i="7"/>
  <c r="I53" i="7"/>
  <c r="I34" i="7"/>
  <c r="I42" i="7"/>
  <c r="I64" i="9" s="1"/>
  <c r="I87" i="9" s="1"/>
  <c r="I23" i="7"/>
  <c r="H12" i="12" s="1"/>
  <c r="I82" i="6"/>
  <c r="I64" i="6"/>
  <c r="I61" i="6"/>
  <c r="I54" i="6"/>
  <c r="I36" i="6"/>
  <c r="I18" i="6"/>
  <c r="G7" i="12" s="1"/>
  <c r="I26" i="6"/>
  <c r="H63" i="9" s="1"/>
  <c r="H86" i="9" s="1"/>
  <c r="I77" i="5"/>
  <c r="I85" i="5"/>
  <c r="I67" i="5"/>
  <c r="I49" i="5"/>
  <c r="I46" i="5"/>
  <c r="I39" i="5"/>
  <c r="I21" i="5"/>
  <c r="I77" i="8"/>
  <c r="I85" i="8"/>
  <c r="I67" i="8"/>
  <c r="I49" i="8"/>
  <c r="I46" i="8"/>
  <c r="I39" i="8"/>
  <c r="I21" i="8"/>
  <c r="I84" i="7"/>
  <c r="I65" i="7"/>
  <c r="I73" i="7"/>
  <c r="I54" i="7"/>
  <c r="I35" i="7"/>
  <c r="I32" i="7"/>
  <c r="I24" i="7"/>
  <c r="I83" i="6"/>
  <c r="I65" i="6"/>
  <c r="I47" i="6"/>
  <c r="I55" i="6"/>
  <c r="I37" i="6"/>
  <c r="I19" i="6"/>
  <c r="I16" i="6"/>
  <c r="I78" i="5"/>
  <c r="I86" i="5"/>
  <c r="I68" i="5"/>
  <c r="I50" i="5"/>
  <c r="I32" i="5"/>
  <c r="I40" i="5"/>
  <c r="I22" i="5"/>
  <c r="F11" i="12" s="1"/>
  <c r="I78" i="8"/>
  <c r="I86" i="8"/>
  <c r="J67" i="9" s="1"/>
  <c r="J90" i="9" s="1"/>
  <c r="I68" i="8"/>
  <c r="I50" i="8"/>
  <c r="I32" i="8"/>
  <c r="I40" i="8"/>
  <c r="I22" i="8"/>
  <c r="I85" i="7"/>
  <c r="I66" i="7"/>
  <c r="I74" i="7"/>
  <c r="I66" i="9" s="1"/>
  <c r="I89" i="9" s="1"/>
  <c r="I55" i="7"/>
  <c r="I36" i="7"/>
  <c r="I17" i="7"/>
  <c r="I25" i="7"/>
  <c r="H14" i="12" s="1"/>
  <c r="I84" i="6"/>
  <c r="I66" i="6"/>
  <c r="I48" i="6"/>
  <c r="I56" i="6"/>
  <c r="H65" i="9" s="1"/>
  <c r="H88" i="9" s="1"/>
  <c r="I38" i="6"/>
  <c r="I20" i="6"/>
  <c r="I79" i="5"/>
  <c r="I76" i="5"/>
  <c r="I69" i="5"/>
  <c r="I51" i="5"/>
  <c r="I33" i="5"/>
  <c r="I41" i="5"/>
  <c r="G64" i="9" s="1"/>
  <c r="G87" i="9" s="1"/>
  <c r="I23" i="5"/>
  <c r="I82" i="4"/>
  <c r="I64" i="4"/>
  <c r="I61" i="4"/>
  <c r="I54" i="4"/>
  <c r="I36" i="4"/>
  <c r="I18" i="4"/>
  <c r="Q73" i="2"/>
  <c r="AM46" i="2" s="1"/>
  <c r="Q76" i="4"/>
  <c r="S59" i="9" s="1"/>
  <c r="S83" i="9" s="1"/>
  <c r="I20" i="2"/>
  <c r="C9" i="12" s="1"/>
  <c r="I38" i="2"/>
  <c r="I53" i="2"/>
  <c r="I45" i="2"/>
  <c r="I63" i="2"/>
  <c r="I80" i="2"/>
  <c r="R22" i="2"/>
  <c r="R37" i="2"/>
  <c r="R51" i="2"/>
  <c r="R66" i="2"/>
  <c r="R80" i="2"/>
  <c r="Q67" i="9" s="1"/>
  <c r="AA21" i="2"/>
  <c r="AA33" i="2"/>
  <c r="AA45" i="2"/>
  <c r="AA78" i="2"/>
  <c r="I24" i="3"/>
  <c r="I31" i="3"/>
  <c r="I34" i="3"/>
  <c r="I52" i="3"/>
  <c r="I70" i="3"/>
  <c r="I62" i="3"/>
  <c r="I80" i="3"/>
  <c r="R20" i="3"/>
  <c r="R35" i="3"/>
  <c r="R48" i="3"/>
  <c r="R76" i="3"/>
  <c r="AA20" i="3"/>
  <c r="AD9" i="12" s="1"/>
  <c r="AA50" i="3"/>
  <c r="AA81" i="3"/>
  <c r="AC67" i="9" s="1"/>
  <c r="AC90" i="9" s="1"/>
  <c r="I35" i="4"/>
  <c r="I81" i="4"/>
  <c r="R66" i="4"/>
  <c r="AA66" i="4"/>
  <c r="AD66" i="9" s="1"/>
  <c r="AD89" i="9" s="1"/>
  <c r="Z16" i="6"/>
  <c r="AF55" i="9" s="1"/>
  <c r="AF79" i="9" s="1"/>
  <c r="I17" i="2"/>
  <c r="I19" i="2"/>
  <c r="I37" i="2"/>
  <c r="I52" i="2"/>
  <c r="I59" i="2"/>
  <c r="I62" i="2"/>
  <c r="I79" i="2"/>
  <c r="R21" i="2"/>
  <c r="R36" i="2"/>
  <c r="R50" i="2"/>
  <c r="R65" i="2"/>
  <c r="R79" i="2"/>
  <c r="AA20" i="2"/>
  <c r="AA32" i="2"/>
  <c r="AA59" i="2"/>
  <c r="AA77" i="2"/>
  <c r="I23" i="3"/>
  <c r="D12" i="12" s="1"/>
  <c r="I41" i="3"/>
  <c r="E64" i="9" s="1"/>
  <c r="E87" i="9" s="1"/>
  <c r="I33" i="3"/>
  <c r="I51" i="3"/>
  <c r="I69" i="3"/>
  <c r="I76" i="3"/>
  <c r="I79" i="3"/>
  <c r="R19" i="3"/>
  <c r="R34" i="3"/>
  <c r="R47" i="3"/>
  <c r="R83" i="3"/>
  <c r="R67" i="9" s="1"/>
  <c r="R90" i="9" s="1"/>
  <c r="AA18" i="3"/>
  <c r="AD7" i="12" s="1"/>
  <c r="AA49" i="3"/>
  <c r="AA80" i="3"/>
  <c r="I34" i="4"/>
  <c r="I80" i="4"/>
  <c r="R65" i="4"/>
  <c r="AA65" i="4"/>
  <c r="AI32" i="2"/>
  <c r="AK32" i="2"/>
  <c r="AL31" i="2"/>
  <c r="AI31" i="2"/>
  <c r="Q51" i="2"/>
  <c r="Q57" i="9" s="1"/>
  <c r="Q81" i="9" s="1"/>
  <c r="H16" i="6"/>
  <c r="H46" i="5"/>
  <c r="H64" i="7"/>
  <c r="H46" i="6"/>
  <c r="H61" i="4"/>
  <c r="H61" i="3"/>
  <c r="H71" i="3" s="1"/>
  <c r="E58" i="9" s="1"/>
  <c r="E82" i="9" s="1"/>
  <c r="S38" i="9"/>
  <c r="T38" i="9" s="1"/>
  <c r="X22" i="9"/>
  <c r="Q48" i="9" s="1"/>
  <c r="Q71" i="9" s="1"/>
  <c r="R38" i="9"/>
  <c r="U38" i="9" s="1"/>
  <c r="AC42" i="9"/>
  <c r="AF42" i="9" s="1"/>
  <c r="AI26" i="9"/>
  <c r="AB34" i="9" s="1"/>
  <c r="AD42" i="9"/>
  <c r="AE42" i="9" s="1"/>
  <c r="H76" i="3"/>
  <c r="H86" i="3" s="1"/>
  <c r="E59" i="9" s="1"/>
  <c r="E83" i="9" s="1"/>
  <c r="G15" i="9"/>
  <c r="H31" i="5"/>
  <c r="H16" i="5"/>
  <c r="AF66" i="9"/>
  <c r="AF89" i="9" s="1"/>
  <c r="AF65" i="9"/>
  <c r="AF88" i="9" s="1"/>
  <c r="AE63" i="9"/>
  <c r="AE86" i="9" s="1"/>
  <c r="AD65" i="9"/>
  <c r="AD88" i="9" s="1"/>
  <c r="AC63" i="9"/>
  <c r="AC86" i="9" s="1"/>
  <c r="AC64" i="9"/>
  <c r="AC87" i="9" s="1"/>
  <c r="D15" i="9"/>
  <c r="H16" i="2"/>
  <c r="AL30" i="2"/>
  <c r="Q66" i="2"/>
  <c r="Q58" i="9" s="1"/>
  <c r="F15" i="9"/>
  <c r="H31" i="4"/>
  <c r="H16" i="4"/>
  <c r="S65" i="9"/>
  <c r="S88" i="9" s="1"/>
  <c r="AG64" i="9"/>
  <c r="AG87" i="9" s="1"/>
  <c r="AC38" i="9"/>
  <c r="AF38" i="9" s="1"/>
  <c r="AI22" i="9"/>
  <c r="AB30" i="9" s="1"/>
  <c r="AD38" i="9"/>
  <c r="AE38" i="9" s="1"/>
  <c r="H30" i="2"/>
  <c r="D26" i="9"/>
  <c r="AM30" i="2"/>
  <c r="W67" i="9"/>
  <c r="W90" i="9" s="1"/>
  <c r="W63" i="9"/>
  <c r="W86" i="9" s="1"/>
  <c r="W66" i="9"/>
  <c r="W89" i="9" s="1"/>
  <c r="T66" i="9"/>
  <c r="T89" i="9" s="1"/>
  <c r="V65" i="9"/>
  <c r="V88" i="9" s="1"/>
  <c r="V64" i="9"/>
  <c r="V87" i="9" s="1"/>
  <c r="V66" i="9"/>
  <c r="V89" i="9" s="1"/>
  <c r="U65" i="9"/>
  <c r="U88" i="9" s="1"/>
  <c r="S64" i="9"/>
  <c r="S87" i="9" s="1"/>
  <c r="R65" i="9"/>
  <c r="R88" i="9" s="1"/>
  <c r="S67" i="9"/>
  <c r="S90" i="9" s="1"/>
  <c r="Z76" i="8"/>
  <c r="AH59" i="9" s="1"/>
  <c r="AH83" i="9" s="1"/>
  <c r="Z61" i="8"/>
  <c r="AH58" i="9" s="1"/>
  <c r="AH82" i="9" s="1"/>
  <c r="Z80" i="7"/>
  <c r="AG59" i="9" s="1"/>
  <c r="AG83" i="9" s="1"/>
  <c r="Z61" i="6"/>
  <c r="AF58" i="9" s="1"/>
  <c r="AF82" i="9" s="1"/>
  <c r="AA61" i="5"/>
  <c r="AE58" i="9" s="1"/>
  <c r="AE82" i="9" s="1"/>
  <c r="Z46" i="8"/>
  <c r="AH57" i="9" s="1"/>
  <c r="AH81" i="9" s="1"/>
  <c r="Z31" i="8"/>
  <c r="AH56" i="9" s="1"/>
  <c r="AH80" i="9" s="1"/>
  <c r="Z16" i="8"/>
  <c r="AH55" i="9" s="1"/>
  <c r="AH79" i="9" s="1"/>
  <c r="Z48" i="7"/>
  <c r="AG57" i="9" s="1"/>
  <c r="AG81" i="9" s="1"/>
  <c r="Z16" i="7"/>
  <c r="AG55" i="9" s="1"/>
  <c r="AG79" i="9" s="1"/>
  <c r="Z31" i="6"/>
  <c r="AF56" i="9" s="1"/>
  <c r="AF80" i="9" s="1"/>
  <c r="AA31" i="5"/>
  <c r="AE56" i="9" s="1"/>
  <c r="AE80" i="9" s="1"/>
  <c r="Z32" i="7"/>
  <c r="AG56" i="9" s="1"/>
  <c r="AG80" i="9" s="1"/>
  <c r="Z76" i="6"/>
  <c r="AF59" i="9" s="1"/>
  <c r="AF83" i="9" s="1"/>
  <c r="AA76" i="5"/>
  <c r="AE59" i="9" s="1"/>
  <c r="AE83" i="9" s="1"/>
  <c r="AA46" i="5"/>
  <c r="AE57" i="9" s="1"/>
  <c r="AE81" i="9" s="1"/>
  <c r="Z31" i="4"/>
  <c r="AD56" i="9" s="1"/>
  <c r="AD80" i="9" s="1"/>
  <c r="Z31" i="3"/>
  <c r="AC56" i="9" s="1"/>
  <c r="AC80" i="9" s="1"/>
  <c r="Z73" i="2"/>
  <c r="Z59" i="2"/>
  <c r="Z44" i="2"/>
  <c r="Z64" i="7"/>
  <c r="AG58" i="9" s="1"/>
  <c r="AG82" i="9" s="1"/>
  <c r="Z46" i="6"/>
  <c r="AF57" i="9" s="1"/>
  <c r="AF81" i="9" s="1"/>
  <c r="AA16" i="5"/>
  <c r="AE55" i="9" s="1"/>
  <c r="AE79" i="9" s="1"/>
  <c r="Z76" i="4"/>
  <c r="AD59" i="9" s="1"/>
  <c r="AD83" i="9" s="1"/>
  <c r="Z46" i="3"/>
  <c r="AC57" i="9" s="1"/>
  <c r="AC81" i="9" s="1"/>
  <c r="Z61" i="4"/>
  <c r="AD58" i="9" s="1"/>
  <c r="AD82" i="9" s="1"/>
  <c r="Z61" i="3"/>
  <c r="AC58" i="9" s="1"/>
  <c r="AC82" i="9" s="1"/>
  <c r="D16" i="9"/>
  <c r="H44" i="2"/>
  <c r="I54" i="2"/>
  <c r="Z30" i="2"/>
  <c r="AI48" i="2"/>
  <c r="E40" i="9"/>
  <c r="H40" i="9" s="1"/>
  <c r="L24" i="9"/>
  <c r="K24" i="9"/>
  <c r="E49" i="9" s="1"/>
  <c r="E73" i="9" s="1"/>
  <c r="F40" i="9"/>
  <c r="G40" i="9" s="1"/>
  <c r="E15" i="9"/>
  <c r="H31" i="3"/>
  <c r="H41" i="3" s="1"/>
  <c r="E56" i="9" s="1"/>
  <c r="E80" i="9" s="1"/>
  <c r="H16" i="3"/>
  <c r="H26" i="3" s="1"/>
  <c r="E55" i="9" s="1"/>
  <c r="E79" i="9" s="1"/>
  <c r="AC65" i="9"/>
  <c r="AC88" i="9" s="1"/>
  <c r="Z16" i="4"/>
  <c r="AD55" i="9" s="1"/>
  <c r="AD79" i="9" s="1"/>
  <c r="AD63" i="9"/>
  <c r="AD86" i="9" s="1"/>
  <c r="D22" i="9"/>
  <c r="AI30" i="2"/>
  <c r="D23" i="9"/>
  <c r="AJ30" i="2"/>
  <c r="AD41" i="9"/>
  <c r="AE41" i="9" s="1"/>
  <c r="AI25" i="9"/>
  <c r="AF33" i="9" s="1"/>
  <c r="AC41" i="9"/>
  <c r="AF41" i="9" s="1"/>
  <c r="F41" i="9"/>
  <c r="G41" i="9" s="1"/>
  <c r="E41" i="9"/>
  <c r="H41" i="9" s="1"/>
  <c r="L25" i="9"/>
  <c r="K25" i="9"/>
  <c r="J33" i="9" s="1"/>
  <c r="R57" i="9"/>
  <c r="R81" i="9" s="1"/>
  <c r="E65" i="9"/>
  <c r="E88" i="9" s="1"/>
  <c r="E26" i="9"/>
  <c r="E27" i="9" s="1"/>
  <c r="AM32" i="2"/>
  <c r="AM31" i="2"/>
  <c r="H46" i="4"/>
  <c r="F65" i="9"/>
  <c r="F88" i="9" s="1"/>
  <c r="Q31" i="3"/>
  <c r="Q31" i="4"/>
  <c r="S56" i="9" s="1"/>
  <c r="S80" i="9" s="1"/>
  <c r="R16" i="5"/>
  <c r="T55" i="9" s="1"/>
  <c r="T79" i="9" s="1"/>
  <c r="Q76" i="6"/>
  <c r="U59" i="9" s="1"/>
  <c r="U83" i="9" s="1"/>
  <c r="H48" i="7"/>
  <c r="I16" i="9"/>
  <c r="Q46" i="8"/>
  <c r="W57" i="9" s="1"/>
  <c r="W81" i="9" s="1"/>
  <c r="Q31" i="8"/>
  <c r="W56" i="9" s="1"/>
  <c r="W80" i="9" s="1"/>
  <c r="Q16" i="8"/>
  <c r="W55" i="9" s="1"/>
  <c r="W79" i="9" s="1"/>
  <c r="Q48" i="7"/>
  <c r="V57" i="9" s="1"/>
  <c r="V81" i="9" s="1"/>
  <c r="Q16" i="7"/>
  <c r="V55" i="9" s="1"/>
  <c r="V79" i="9" s="1"/>
  <c r="Q31" i="6"/>
  <c r="U56" i="9" s="1"/>
  <c r="U80" i="9" s="1"/>
  <c r="R31" i="5"/>
  <c r="T56" i="9" s="1"/>
  <c r="T80" i="9" s="1"/>
  <c r="Q61" i="8"/>
  <c r="W58" i="9" s="1"/>
  <c r="W82" i="9" s="1"/>
  <c r="Q76" i="8"/>
  <c r="W59" i="9" s="1"/>
  <c r="W83" i="9" s="1"/>
  <c r="Q80" i="7"/>
  <c r="V59" i="9" s="1"/>
  <c r="V83" i="9" s="1"/>
  <c r="Q61" i="6"/>
  <c r="U58" i="9" s="1"/>
  <c r="U82" i="9" s="1"/>
  <c r="R61" i="5"/>
  <c r="T58" i="9" s="1"/>
  <c r="T82" i="9" s="1"/>
  <c r="Q64" i="7"/>
  <c r="V58" i="9" s="1"/>
  <c r="V82" i="9" s="1"/>
  <c r="Q46" i="6"/>
  <c r="U57" i="9" s="1"/>
  <c r="U81" i="9" s="1"/>
  <c r="Q16" i="6"/>
  <c r="U55" i="9" s="1"/>
  <c r="U79" i="9" s="1"/>
  <c r="R46" i="5"/>
  <c r="T57" i="9" s="1"/>
  <c r="T81" i="9" s="1"/>
  <c r="Q16" i="2"/>
  <c r="Q30" i="2"/>
  <c r="AD39" i="9"/>
  <c r="AE39" i="9" s="1"/>
  <c r="AC39" i="9"/>
  <c r="AF39" i="9" s="1"/>
  <c r="AI23" i="9"/>
  <c r="AE49" i="9" s="1"/>
  <c r="AE72" i="9" s="1"/>
  <c r="AD40" i="9"/>
  <c r="AE40" i="9" s="1"/>
  <c r="AC40" i="9"/>
  <c r="AF40" i="9" s="1"/>
  <c r="AI24" i="9"/>
  <c r="AB32" i="9" s="1"/>
  <c r="Q16" i="3"/>
  <c r="H46" i="3"/>
  <c r="H56" i="3" s="1"/>
  <c r="E57" i="9" s="1"/>
  <c r="E81" i="9" s="1"/>
  <c r="Q76" i="3"/>
  <c r="Q16" i="4"/>
  <c r="S55" i="9" s="1"/>
  <c r="S79" i="9" s="1"/>
  <c r="Q46" i="4"/>
  <c r="S57" i="9" s="1"/>
  <c r="S81" i="9" s="1"/>
  <c r="H76" i="4"/>
  <c r="F67" i="9"/>
  <c r="F90" i="9" s="1"/>
  <c r="G17" i="9"/>
  <c r="G66" i="9"/>
  <c r="G89" i="9" s="1"/>
  <c r="H61" i="5"/>
  <c r="R76" i="5"/>
  <c r="T59" i="9" s="1"/>
  <c r="T83" i="9" s="1"/>
  <c r="S39" i="9"/>
  <c r="T39" i="9" s="1"/>
  <c r="X23" i="9"/>
  <c r="R31" i="9" s="1"/>
  <c r="R39" i="9"/>
  <c r="U39" i="9" s="1"/>
  <c r="S40" i="9"/>
  <c r="T40" i="9" s="1"/>
  <c r="X24" i="9"/>
  <c r="V50" i="9" s="1"/>
  <c r="V73" i="9" s="1"/>
  <c r="R40" i="9"/>
  <c r="U40" i="9" s="1"/>
  <c r="H59" i="2"/>
  <c r="R41" i="9"/>
  <c r="U41" i="9" s="1"/>
  <c r="S41" i="9"/>
  <c r="T41" i="9" s="1"/>
  <c r="X25" i="9"/>
  <c r="U51" i="9" s="1"/>
  <c r="U74" i="9" s="1"/>
  <c r="H73" i="2"/>
  <c r="S42" i="9"/>
  <c r="T42" i="9" s="1"/>
  <c r="X26" i="9"/>
  <c r="W52" i="9" s="1"/>
  <c r="W75" i="9" s="1"/>
  <c r="R42" i="9"/>
  <c r="U42" i="9" s="1"/>
  <c r="Q61" i="3"/>
  <c r="Q61" i="4"/>
  <c r="S58" i="9" s="1"/>
  <c r="S82" i="9" s="1"/>
  <c r="G14" i="9"/>
  <c r="K14" i="9" s="1"/>
  <c r="G18" i="9"/>
  <c r="K18" i="9" s="1"/>
  <c r="G67" i="9"/>
  <c r="G90" i="9" s="1"/>
  <c r="H76" i="5"/>
  <c r="H15" i="9"/>
  <c r="H31" i="6"/>
  <c r="I63" i="9"/>
  <c r="I86" i="9" s="1"/>
  <c r="H76" i="6"/>
  <c r="H32" i="7"/>
  <c r="J14" i="9"/>
  <c r="H76" i="8"/>
  <c r="J18" i="9"/>
  <c r="I14" i="9"/>
  <c r="I18" i="9"/>
  <c r="L18" i="9" s="1"/>
  <c r="H16" i="7"/>
  <c r="J15" i="9"/>
  <c r="L15" i="9" s="1"/>
  <c r="J16" i="9"/>
  <c r="J64" i="9"/>
  <c r="J87" i="9" s="1"/>
  <c r="H61" i="6"/>
  <c r="H80" i="7"/>
  <c r="J17" i="9"/>
  <c r="H61" i="8"/>
  <c r="H31" i="8"/>
  <c r="H46" i="8"/>
  <c r="Y27" i="9" l="1"/>
  <c r="L14" i="9"/>
  <c r="L16" i="9"/>
  <c r="D27" i="9"/>
  <c r="L27" i="9" s="1"/>
  <c r="E14" i="12"/>
  <c r="S8" i="12"/>
  <c r="C6" i="12"/>
  <c r="H13" i="12"/>
  <c r="U11" i="12"/>
  <c r="H11" i="12"/>
  <c r="G11" i="12"/>
  <c r="D14" i="12"/>
  <c r="C11" i="12"/>
  <c r="E13" i="12"/>
  <c r="D10" i="12"/>
  <c r="E10" i="12"/>
  <c r="I12" i="12"/>
  <c r="AF9" i="12"/>
  <c r="AI8" i="12"/>
  <c r="AF8" i="12"/>
  <c r="D9" i="12"/>
  <c r="AG9" i="12"/>
  <c r="T9" i="12"/>
  <c r="S10" i="12"/>
  <c r="D11" i="12"/>
  <c r="F7" i="12"/>
  <c r="H9" i="12"/>
  <c r="U9" i="12"/>
  <c r="E8" i="12"/>
  <c r="R10" i="12"/>
  <c r="C8" i="12"/>
  <c r="I9" i="12"/>
  <c r="F9" i="12"/>
  <c r="H10" i="12"/>
  <c r="U10" i="12"/>
  <c r="G10" i="12"/>
  <c r="AD8" i="12"/>
  <c r="R8" i="12"/>
  <c r="V11" i="12"/>
  <c r="AC9" i="12"/>
  <c r="Q9" i="12"/>
  <c r="AI5" i="12"/>
  <c r="AI7" i="12"/>
  <c r="V10" i="12"/>
  <c r="Q8" i="12"/>
  <c r="E7" i="12"/>
  <c r="G9" i="12"/>
  <c r="F10" i="12"/>
  <c r="E11" i="12"/>
  <c r="I13" i="12"/>
  <c r="Q11" i="12"/>
  <c r="AE9" i="12"/>
  <c r="AH8" i="12"/>
  <c r="E12" i="12"/>
  <c r="V7" i="12"/>
  <c r="T8" i="12"/>
  <c r="AG8" i="12"/>
  <c r="S9" i="12"/>
  <c r="I14" i="12"/>
  <c r="AG5" i="12"/>
  <c r="V9" i="12"/>
  <c r="G14" i="12"/>
  <c r="I6" i="12"/>
  <c r="F14" i="12"/>
  <c r="Q10" i="12"/>
  <c r="AH7" i="12"/>
  <c r="AI9" i="12"/>
  <c r="AD6" i="12"/>
  <c r="AD10" i="12" s="1"/>
  <c r="AC6" i="12"/>
  <c r="C13" i="12"/>
  <c r="Q6" i="12"/>
  <c r="V8" i="12"/>
  <c r="AC8" i="12"/>
  <c r="C7" i="12"/>
  <c r="U6" i="12"/>
  <c r="H6" i="12"/>
  <c r="AE5" i="12"/>
  <c r="AE8" i="12"/>
  <c r="D8" i="12"/>
  <c r="H8" i="12"/>
  <c r="U8" i="12"/>
  <c r="AH10" i="12"/>
  <c r="R9" i="12"/>
  <c r="I11" i="12"/>
  <c r="G12" i="12"/>
  <c r="F13" i="12"/>
  <c r="AC5" i="12"/>
  <c r="AE6" i="12"/>
  <c r="AH9" i="12"/>
  <c r="AC7" i="12"/>
  <c r="C14" i="12"/>
  <c r="R6" i="12"/>
  <c r="G8" i="12"/>
  <c r="G6" i="12"/>
  <c r="F6" i="12"/>
  <c r="AF6" i="12"/>
  <c r="R11" i="12"/>
  <c r="AG7" i="12"/>
  <c r="T7" i="12"/>
  <c r="Q7" i="12"/>
  <c r="D13" i="12"/>
  <c r="F12" i="12"/>
  <c r="I10" i="12"/>
  <c r="I7" i="12"/>
  <c r="U7" i="12"/>
  <c r="H7" i="12"/>
  <c r="E6" i="12"/>
  <c r="C12" i="12"/>
  <c r="S7" i="12"/>
  <c r="T6" i="12"/>
  <c r="AG6" i="12"/>
  <c r="AJ49" i="2"/>
  <c r="AK49" i="2"/>
  <c r="AE95" i="9"/>
  <c r="Q80" i="2"/>
  <c r="Q59" i="9" s="1"/>
  <c r="Q83" i="9" s="1"/>
  <c r="AM47" i="2"/>
  <c r="W98" i="9"/>
  <c r="E96" i="9"/>
  <c r="AC33" i="9"/>
  <c r="V96" i="9"/>
  <c r="U97" i="9"/>
  <c r="R34" i="9"/>
  <c r="W34" i="9"/>
  <c r="I50" i="9"/>
  <c r="I74" i="9" s="1"/>
  <c r="AH30" i="9"/>
  <c r="R30" i="9"/>
  <c r="AE32" i="9"/>
  <c r="V49" i="9"/>
  <c r="V72" i="9" s="1"/>
  <c r="V95" i="9" s="1"/>
  <c r="W48" i="9"/>
  <c r="W71" i="9" s="1"/>
  <c r="W94" i="9" s="1"/>
  <c r="AD48" i="9"/>
  <c r="AD71" i="9" s="1"/>
  <c r="AD94" i="9" s="1"/>
  <c r="AD52" i="9"/>
  <c r="AD75" i="9" s="1"/>
  <c r="AD98" i="9" s="1"/>
  <c r="U50" i="9"/>
  <c r="U73" i="9" s="1"/>
  <c r="U96" i="9" s="1"/>
  <c r="S34" i="9"/>
  <c r="V52" i="9"/>
  <c r="V75" i="9" s="1"/>
  <c r="V98" i="9" s="1"/>
  <c r="U52" i="9"/>
  <c r="U75" i="9" s="1"/>
  <c r="U98" i="9" s="1"/>
  <c r="AH32" i="9"/>
  <c r="AC50" i="9"/>
  <c r="AC73" i="9" s="1"/>
  <c r="AC96" i="9" s="1"/>
  <c r="AD50" i="9"/>
  <c r="AD73" i="9" s="1"/>
  <c r="AD96" i="9" s="1"/>
  <c r="AF50" i="9"/>
  <c r="AF73" i="9" s="1"/>
  <c r="AF96" i="9" s="1"/>
  <c r="AB50" i="9"/>
  <c r="AB73" i="9" s="1"/>
  <c r="T52" i="9"/>
  <c r="T75" i="9" s="1"/>
  <c r="T98" i="9" s="1"/>
  <c r="AH51" i="9"/>
  <c r="AH74" i="9" s="1"/>
  <c r="AH97" i="9" s="1"/>
  <c r="Q52" i="9"/>
  <c r="Q75" i="9" s="1"/>
  <c r="AH48" i="9"/>
  <c r="AH71" i="9" s="1"/>
  <c r="AH94" i="9" s="1"/>
  <c r="AB51" i="9"/>
  <c r="AB74" i="9" s="1"/>
  <c r="S49" i="9"/>
  <c r="S72" i="9" s="1"/>
  <c r="S95" i="9" s="1"/>
  <c r="AB52" i="9"/>
  <c r="AB75" i="9" s="1"/>
  <c r="AG51" i="9"/>
  <c r="AG74" i="9" s="1"/>
  <c r="AG97" i="9" s="1"/>
  <c r="W49" i="9"/>
  <c r="W72" i="9" s="1"/>
  <c r="W95" i="9" s="1"/>
  <c r="AG50" i="9"/>
  <c r="AG73" i="9" s="1"/>
  <c r="AG96" i="9" s="1"/>
  <c r="Q50" i="9"/>
  <c r="Q73" i="9" s="1"/>
  <c r="Q96" i="9" s="1"/>
  <c r="Q30" i="9"/>
  <c r="T48" i="9"/>
  <c r="T71" i="9" s="1"/>
  <c r="T94" i="9" s="1"/>
  <c r="U48" i="9"/>
  <c r="U71" i="9" s="1"/>
  <c r="U94" i="9" s="1"/>
  <c r="V48" i="9"/>
  <c r="V71" i="9" s="1"/>
  <c r="V94" i="9" s="1"/>
  <c r="V51" i="9"/>
  <c r="V74" i="9" s="1"/>
  <c r="V97" i="9" s="1"/>
  <c r="AG52" i="9"/>
  <c r="AG75" i="9" s="1"/>
  <c r="AG98" i="9" s="1"/>
  <c r="AG48" i="9"/>
  <c r="AG71" i="9" s="1"/>
  <c r="AG94" i="9" s="1"/>
  <c r="T49" i="9"/>
  <c r="T72" i="9" s="1"/>
  <c r="T95" i="9" s="1"/>
  <c r="AF51" i="9"/>
  <c r="AF74" i="9" s="1"/>
  <c r="AF97" i="9" s="1"/>
  <c r="S32" i="9"/>
  <c r="W50" i="9"/>
  <c r="W73" i="9" s="1"/>
  <c r="W96" i="9" s="1"/>
  <c r="R50" i="9"/>
  <c r="R73" i="9" s="1"/>
  <c r="R96" i="9" s="1"/>
  <c r="Q33" i="9"/>
  <c r="R51" i="9"/>
  <c r="R74" i="9" s="1"/>
  <c r="S51" i="9"/>
  <c r="S74" i="9" s="1"/>
  <c r="S97" i="9" s="1"/>
  <c r="T51" i="9"/>
  <c r="T74" i="9" s="1"/>
  <c r="T97" i="9" s="1"/>
  <c r="AC31" i="9"/>
  <c r="AB49" i="9"/>
  <c r="AB72" i="9" s="1"/>
  <c r="AD32" i="9"/>
  <c r="T50" i="9"/>
  <c r="T73" i="9" s="1"/>
  <c r="T96" i="9" s="1"/>
  <c r="AE50" i="9"/>
  <c r="AE73" i="9" s="1"/>
  <c r="AE96" i="9" s="1"/>
  <c r="AF52" i="9"/>
  <c r="AF75" i="9" s="1"/>
  <c r="AF98" i="9" s="1"/>
  <c r="AC48" i="9"/>
  <c r="AC71" i="9" s="1"/>
  <c r="AC94" i="9" s="1"/>
  <c r="AE52" i="9"/>
  <c r="AE75" i="9" s="1"/>
  <c r="AE98" i="9" s="1"/>
  <c r="R48" i="9"/>
  <c r="R71" i="9" s="1"/>
  <c r="S52" i="9"/>
  <c r="S75" i="9" s="1"/>
  <c r="S98" i="9" s="1"/>
  <c r="AD49" i="9"/>
  <c r="AD72" i="9" s="1"/>
  <c r="AD95" i="9" s="1"/>
  <c r="S50" i="9"/>
  <c r="S73" i="9" s="1"/>
  <c r="S96" i="9" s="1"/>
  <c r="R52" i="9"/>
  <c r="R75" i="9" s="1"/>
  <c r="U49" i="9"/>
  <c r="U72" i="9" s="1"/>
  <c r="U95" i="9" s="1"/>
  <c r="AC51" i="9"/>
  <c r="AC74" i="9" s="1"/>
  <c r="AC97" i="9" s="1"/>
  <c r="S48" i="9"/>
  <c r="S71" i="9" s="1"/>
  <c r="S94" i="9" s="1"/>
  <c r="AH49" i="9"/>
  <c r="AH72" i="9" s="1"/>
  <c r="AH95" i="9" s="1"/>
  <c r="AC34" i="9"/>
  <c r="AH52" i="9"/>
  <c r="AH75" i="9" s="1"/>
  <c r="AH98" i="9" s="1"/>
  <c r="R49" i="9"/>
  <c r="R72" i="9" s="1"/>
  <c r="AC49" i="9"/>
  <c r="AC72" i="9" s="1"/>
  <c r="AC95" i="9" s="1"/>
  <c r="AH50" i="9"/>
  <c r="AH73" i="9" s="1"/>
  <c r="AH96" i="9" s="1"/>
  <c r="AE51" i="9"/>
  <c r="AE74" i="9" s="1"/>
  <c r="AE97" i="9" s="1"/>
  <c r="Q51" i="9"/>
  <c r="Q74" i="9" s="1"/>
  <c r="AC52" i="9"/>
  <c r="AC75" i="9" s="1"/>
  <c r="AC98" i="9" s="1"/>
  <c r="AF48" i="9"/>
  <c r="AF71" i="9" s="1"/>
  <c r="AF94" i="9" s="1"/>
  <c r="AB48" i="9"/>
  <c r="AB71" i="9" s="1"/>
  <c r="AB94" i="9" s="1"/>
  <c r="Q49" i="9"/>
  <c r="Q72" i="9" s="1"/>
  <c r="AF49" i="9"/>
  <c r="AF72" i="9" s="1"/>
  <c r="AF95" i="9" s="1"/>
  <c r="AD51" i="9"/>
  <c r="AD74" i="9" s="1"/>
  <c r="AD97" i="9" s="1"/>
  <c r="AG49" i="9"/>
  <c r="AG72" i="9" s="1"/>
  <c r="AG95" i="9" s="1"/>
  <c r="W51" i="9"/>
  <c r="W74" i="9" s="1"/>
  <c r="W97" i="9" s="1"/>
  <c r="AE48" i="9"/>
  <c r="AE71" i="9" s="1"/>
  <c r="AE94" i="9" s="1"/>
  <c r="AD30" i="9"/>
  <c r="W31" i="9"/>
  <c r="AG32" i="9"/>
  <c r="AF32" i="9"/>
  <c r="G50" i="9"/>
  <c r="G74" i="9" s="1"/>
  <c r="AI55" i="9"/>
  <c r="AF30" i="9"/>
  <c r="T30" i="9"/>
  <c r="U30" i="9"/>
  <c r="AG40" i="9"/>
  <c r="S30" i="9"/>
  <c r="J50" i="9"/>
  <c r="J74" i="9" s="1"/>
  <c r="U34" i="9"/>
  <c r="AE30" i="9"/>
  <c r="AG30" i="9"/>
  <c r="Q34" i="9"/>
  <c r="D50" i="9"/>
  <c r="D74" i="9" s="1"/>
  <c r="G33" i="9"/>
  <c r="E33" i="9"/>
  <c r="W30" i="9"/>
  <c r="AG33" i="9"/>
  <c r="T34" i="9"/>
  <c r="V34" i="9"/>
  <c r="Y34" i="9" s="1"/>
  <c r="V30" i="9"/>
  <c r="V42" i="9"/>
  <c r="F50" i="9"/>
  <c r="F74" i="9" s="1"/>
  <c r="AE33" i="9"/>
  <c r="AC30" i="9"/>
  <c r="R33" i="9"/>
  <c r="U31" i="9"/>
  <c r="T31" i="9"/>
  <c r="E32" i="9"/>
  <c r="E50" i="9"/>
  <c r="E74" i="9" s="1"/>
  <c r="E97" i="9" s="1"/>
  <c r="T33" i="9"/>
  <c r="H50" i="9"/>
  <c r="H74" i="9" s="1"/>
  <c r="AG34" i="9"/>
  <c r="Q31" i="9"/>
  <c r="W32" i="9"/>
  <c r="H33" i="9"/>
  <c r="I40" i="9"/>
  <c r="J55" i="9"/>
  <c r="J79" i="9" s="1"/>
  <c r="AF16" i="8"/>
  <c r="R55" i="9"/>
  <c r="R79" i="9" s="1"/>
  <c r="Q23" i="3"/>
  <c r="I57" i="9"/>
  <c r="I81" i="9" s="1"/>
  <c r="AG16" i="7"/>
  <c r="J58" i="9"/>
  <c r="J82" i="9" s="1"/>
  <c r="AI16" i="8"/>
  <c r="G59" i="9"/>
  <c r="G83" i="9" s="1"/>
  <c r="AM16" i="5"/>
  <c r="R58" i="9"/>
  <c r="R82" i="9" s="1"/>
  <c r="Q68" i="3"/>
  <c r="D63" i="9"/>
  <c r="AI45" i="2"/>
  <c r="AJ46" i="2"/>
  <c r="Q37" i="2"/>
  <c r="Q56" i="9" s="1"/>
  <c r="AI46" i="2"/>
  <c r="Q23" i="2"/>
  <c r="Q55" i="9" s="1"/>
  <c r="M25" i="9"/>
  <c r="N25" i="9"/>
  <c r="AI64" i="9"/>
  <c r="AB87" i="9"/>
  <c r="AI87" i="9" s="1"/>
  <c r="J130" i="9" s="1"/>
  <c r="L139" i="9" s="1"/>
  <c r="D49" i="9"/>
  <c r="D73" i="9" s="1"/>
  <c r="K16" i="9"/>
  <c r="AF43" i="9"/>
  <c r="F56" i="9"/>
  <c r="F80" i="9" s="1"/>
  <c r="AG16" i="4"/>
  <c r="Q82" i="9"/>
  <c r="AB66" i="9"/>
  <c r="AL49" i="2"/>
  <c r="Y81" i="9"/>
  <c r="F131" i="9" s="1"/>
  <c r="H140" i="9" s="1"/>
  <c r="H57" i="9"/>
  <c r="H81" i="9" s="1"/>
  <c r="AG16" i="6"/>
  <c r="AH16" i="6"/>
  <c r="H58" i="9"/>
  <c r="H82" i="9" s="1"/>
  <c r="H49" i="9"/>
  <c r="H73" i="9" s="1"/>
  <c r="J59" i="9"/>
  <c r="J83" i="9" s="1"/>
  <c r="AJ16" i="8"/>
  <c r="K17" i="9"/>
  <c r="R56" i="9"/>
  <c r="R80" i="9" s="1"/>
  <c r="Q38" i="3"/>
  <c r="D32" i="9"/>
  <c r="AI65" i="9"/>
  <c r="AB88" i="9"/>
  <c r="AI88" i="9" s="1"/>
  <c r="J131" i="9" s="1"/>
  <c r="L140" i="9" s="1"/>
  <c r="S33" i="9"/>
  <c r="K15" i="9"/>
  <c r="AI79" i="9"/>
  <c r="G129" i="9" s="1"/>
  <c r="K138" i="9" s="1"/>
  <c r="J56" i="9"/>
  <c r="J80" i="9" s="1"/>
  <c r="AG16" i="8"/>
  <c r="AH31" i="9"/>
  <c r="AH33" i="9"/>
  <c r="V33" i="9"/>
  <c r="U32" i="9"/>
  <c r="AE34" i="9"/>
  <c r="V32" i="9"/>
  <c r="W33" i="9"/>
  <c r="AG31" i="9"/>
  <c r="AF34" i="9"/>
  <c r="AF31" i="9"/>
  <c r="F32" i="9"/>
  <c r="AC32" i="9"/>
  <c r="V41" i="9"/>
  <c r="Q32" i="9"/>
  <c r="V31" i="9"/>
  <c r="AD33" i="9"/>
  <c r="S31" i="9"/>
  <c r="D67" i="9"/>
  <c r="AM45" i="2"/>
  <c r="AB31" i="9"/>
  <c r="AB35" i="9" s="1"/>
  <c r="F49" i="9"/>
  <c r="F73" i="9" s="1"/>
  <c r="R32" i="9"/>
  <c r="F57" i="9"/>
  <c r="F81" i="9" s="1"/>
  <c r="AH16" i="4"/>
  <c r="D33" i="9"/>
  <c r="AB33" i="9"/>
  <c r="K23" i="9"/>
  <c r="D48" i="9" s="1"/>
  <c r="D72" i="9" s="1"/>
  <c r="F39" i="9"/>
  <c r="G39" i="9" s="1"/>
  <c r="E39" i="9"/>
  <c r="H39" i="9" s="1"/>
  <c r="L23" i="9"/>
  <c r="F38" i="9"/>
  <c r="G38" i="9" s="1"/>
  <c r="E38" i="9"/>
  <c r="H38" i="9" s="1"/>
  <c r="L22" i="9"/>
  <c r="K22" i="9"/>
  <c r="D30" i="9" s="1"/>
  <c r="AE31" i="9"/>
  <c r="N24" i="9"/>
  <c r="M24" i="9"/>
  <c r="Z35" i="2"/>
  <c r="AB56" i="9" s="1"/>
  <c r="AJ48" i="2"/>
  <c r="D65" i="9"/>
  <c r="AK45" i="2"/>
  <c r="Z78" i="2"/>
  <c r="AB59" i="9" s="1"/>
  <c r="AM48" i="2"/>
  <c r="Q63" i="9"/>
  <c r="AI47" i="2"/>
  <c r="F42" i="9"/>
  <c r="G42" i="9" s="1"/>
  <c r="E42" i="9"/>
  <c r="H42" i="9" s="1"/>
  <c r="L26" i="9"/>
  <c r="K26" i="9"/>
  <c r="E34" i="9" s="1"/>
  <c r="AD31" i="9"/>
  <c r="F55" i="9"/>
  <c r="F79" i="9" s="1"/>
  <c r="AF16" i="4"/>
  <c r="D64" i="9"/>
  <c r="AJ45" i="2"/>
  <c r="AB67" i="9"/>
  <c r="AM49" i="2"/>
  <c r="G56" i="9"/>
  <c r="G80" i="9" s="1"/>
  <c r="AJ16" i="5"/>
  <c r="U43" i="9"/>
  <c r="G57" i="9"/>
  <c r="G81" i="9" s="1"/>
  <c r="AK16" i="5"/>
  <c r="I55" i="9"/>
  <c r="I79" i="9" s="1"/>
  <c r="AE16" i="7"/>
  <c r="H59" i="9"/>
  <c r="H83" i="9" s="1"/>
  <c r="AI16" i="6"/>
  <c r="Z49" i="2"/>
  <c r="AB57" i="9" s="1"/>
  <c r="AK48" i="2"/>
  <c r="AJ44" i="2"/>
  <c r="H40" i="2"/>
  <c r="D56" i="9" s="1"/>
  <c r="Q65" i="9"/>
  <c r="AK47" i="2"/>
  <c r="G55" i="9"/>
  <c r="G79" i="9" s="1"/>
  <c r="AI16" i="5"/>
  <c r="J57" i="9"/>
  <c r="J81" i="9" s="1"/>
  <c r="AH16" i="8"/>
  <c r="I59" i="9"/>
  <c r="I83" i="9" s="1"/>
  <c r="AI16" i="7"/>
  <c r="H32" i="9"/>
  <c r="I56" i="9"/>
  <c r="I80" i="9" s="1"/>
  <c r="AF16" i="7"/>
  <c r="G58" i="9"/>
  <c r="G82" i="9" s="1"/>
  <c r="AL16" i="5"/>
  <c r="D66" i="9"/>
  <c r="AL45" i="2"/>
  <c r="G49" i="9"/>
  <c r="G73" i="9" s="1"/>
  <c r="I32" i="9"/>
  <c r="Q64" i="9"/>
  <c r="AJ47" i="2"/>
  <c r="AL48" i="2"/>
  <c r="Z64" i="2"/>
  <c r="AB58" i="9" s="1"/>
  <c r="AG38" i="9"/>
  <c r="AE43" i="9"/>
  <c r="T43" i="9"/>
  <c r="V38" i="9"/>
  <c r="I58" i="9"/>
  <c r="I82" i="9" s="1"/>
  <c r="AH16" i="7"/>
  <c r="J49" i="9"/>
  <c r="J73" i="9" s="1"/>
  <c r="G32" i="9"/>
  <c r="J32" i="9"/>
  <c r="U33" i="9"/>
  <c r="AF16" i="6"/>
  <c r="H56" i="9"/>
  <c r="H80" i="9" s="1"/>
  <c r="T32" i="9"/>
  <c r="AD34" i="9"/>
  <c r="H83" i="2"/>
  <c r="D59" i="9" s="1"/>
  <c r="AM44" i="2"/>
  <c r="AL44" i="2"/>
  <c r="H69" i="2"/>
  <c r="D58" i="9" s="1"/>
  <c r="V40" i="9"/>
  <c r="V39" i="9"/>
  <c r="AH34" i="9"/>
  <c r="F59" i="9"/>
  <c r="F83" i="9" s="1"/>
  <c r="AJ16" i="4"/>
  <c r="R59" i="9"/>
  <c r="R83" i="9" s="1"/>
  <c r="Q83" i="3"/>
  <c r="AG39" i="9"/>
  <c r="I49" i="9"/>
  <c r="I73" i="9" s="1"/>
  <c r="I41" i="9"/>
  <c r="AG41" i="9"/>
  <c r="I33" i="9"/>
  <c r="L33" i="9" s="1"/>
  <c r="F33" i="9"/>
  <c r="Q66" i="9"/>
  <c r="AL47" i="2"/>
  <c r="AK44" i="2"/>
  <c r="H54" i="2"/>
  <c r="D57" i="9" s="1"/>
  <c r="H26" i="2"/>
  <c r="D55" i="9" s="1"/>
  <c r="AI44" i="2"/>
  <c r="AB63" i="9"/>
  <c r="AI49" i="2"/>
  <c r="AG42" i="9"/>
  <c r="Y57" i="9"/>
  <c r="F58" i="9"/>
  <c r="F82" i="9" s="1"/>
  <c r="AI16" i="4"/>
  <c r="H55" i="9"/>
  <c r="H79" i="9" s="1"/>
  <c r="AE16" i="6"/>
  <c r="Y67" i="9"/>
  <c r="Q90" i="9"/>
  <c r="Y90" i="9" s="1"/>
  <c r="I133" i="9" s="1"/>
  <c r="I142" i="9" s="1"/>
  <c r="AJ6" i="12" l="1"/>
  <c r="AL6" i="12" s="1"/>
  <c r="V12" i="12"/>
  <c r="J9" i="12"/>
  <c r="L9" i="12" s="1"/>
  <c r="T12" i="12"/>
  <c r="R12" i="12"/>
  <c r="D15" i="12"/>
  <c r="S12" i="12"/>
  <c r="AF10" i="12"/>
  <c r="J10" i="12"/>
  <c r="R35" i="9"/>
  <c r="AJ33" i="9"/>
  <c r="AI34" i="9"/>
  <c r="AH35" i="9"/>
  <c r="Y31" i="9"/>
  <c r="AF35" i="9"/>
  <c r="Y32" i="9"/>
  <c r="S35" i="9"/>
  <c r="W35" i="9"/>
  <c r="Y33" i="9"/>
  <c r="AI32" i="9"/>
  <c r="AI30" i="9"/>
  <c r="AK30" i="9"/>
  <c r="M33" i="9"/>
  <c r="K33" i="9"/>
  <c r="M32" i="9"/>
  <c r="K32" i="9"/>
  <c r="U35" i="9"/>
  <c r="T35" i="9"/>
  <c r="AK33" i="9"/>
  <c r="AI33" i="9"/>
  <c r="N22" i="9"/>
  <c r="AE35" i="9"/>
  <c r="AK32" i="9"/>
  <c r="Z34" i="9"/>
  <c r="X34" i="9"/>
  <c r="AJ32" i="9"/>
  <c r="AI31" i="9"/>
  <c r="AK31" i="9"/>
  <c r="AJ31" i="9"/>
  <c r="Z31" i="9"/>
  <c r="X31" i="9"/>
  <c r="AD35" i="9"/>
  <c r="L32" i="9"/>
  <c r="Z32" i="9"/>
  <c r="X32" i="9"/>
  <c r="AC35" i="9"/>
  <c r="AK34" i="9"/>
  <c r="AJ30" i="9"/>
  <c r="AG35" i="9"/>
  <c r="AJ34" i="9"/>
  <c r="V35" i="9"/>
  <c r="Y30" i="9"/>
  <c r="Z33" i="9"/>
  <c r="X33" i="9"/>
  <c r="Z30" i="9"/>
  <c r="Q35" i="9"/>
  <c r="X30" i="9"/>
  <c r="K10" i="12"/>
  <c r="L10" i="12"/>
  <c r="W8" i="12"/>
  <c r="AJ7" i="12"/>
  <c r="W7" i="12"/>
  <c r="AI10" i="12"/>
  <c r="J8" i="12"/>
  <c r="AC10" i="12"/>
  <c r="AJ5" i="12"/>
  <c r="AE10" i="12"/>
  <c r="W10" i="12"/>
  <c r="W9" i="12"/>
  <c r="W6" i="12"/>
  <c r="Q12" i="12"/>
  <c r="J13" i="12"/>
  <c r="J11" i="12"/>
  <c r="J14" i="12"/>
  <c r="AJ9" i="12"/>
  <c r="U12" i="12"/>
  <c r="I15" i="12"/>
  <c r="W11" i="12"/>
  <c r="J12" i="12"/>
  <c r="J7" i="12"/>
  <c r="E15" i="12"/>
  <c r="F15" i="12"/>
  <c r="AJ8" i="12"/>
  <c r="H15" i="12"/>
  <c r="C15" i="12"/>
  <c r="J6" i="12"/>
  <c r="G15" i="12"/>
  <c r="AG10" i="12"/>
  <c r="Y59" i="9"/>
  <c r="AJ16" i="7"/>
  <c r="H96" i="9"/>
  <c r="J97" i="9"/>
  <c r="I97" i="9"/>
  <c r="AI94" i="9"/>
  <c r="M129" i="9" s="1"/>
  <c r="M138" i="9" s="1"/>
  <c r="Y96" i="9"/>
  <c r="L131" i="9" s="1"/>
  <c r="J140" i="9" s="1"/>
  <c r="Y83" i="9"/>
  <c r="F133" i="9" s="1"/>
  <c r="H142" i="9" s="1"/>
  <c r="I96" i="9"/>
  <c r="G96" i="9"/>
  <c r="R97" i="9"/>
  <c r="R95" i="9"/>
  <c r="J96" i="9"/>
  <c r="R98" i="9"/>
  <c r="H97" i="9"/>
  <c r="F97" i="9"/>
  <c r="Q98" i="9"/>
  <c r="Q97" i="9"/>
  <c r="F96" i="9"/>
  <c r="G97" i="9"/>
  <c r="R94" i="9"/>
  <c r="I51" i="9"/>
  <c r="I75" i="9" s="1"/>
  <c r="I98" i="9" s="1"/>
  <c r="D34" i="9"/>
  <c r="G47" i="9"/>
  <c r="G71" i="9" s="1"/>
  <c r="G94" i="9" s="1"/>
  <c r="I47" i="9"/>
  <c r="I71" i="9" s="1"/>
  <c r="I94" i="9" s="1"/>
  <c r="AN49" i="2"/>
  <c r="AN48" i="2"/>
  <c r="N26" i="9"/>
  <c r="M26" i="9"/>
  <c r="N23" i="9"/>
  <c r="M23" i="9"/>
  <c r="E48" i="9"/>
  <c r="E72" i="9" s="1"/>
  <c r="E95" i="9" s="1"/>
  <c r="M22" i="9"/>
  <c r="K67" i="9"/>
  <c r="D90" i="9"/>
  <c r="K90" i="9" s="1"/>
  <c r="H133" i="9" s="1"/>
  <c r="F142" i="9" s="1"/>
  <c r="Y58" i="9"/>
  <c r="Q79" i="9"/>
  <c r="Y55" i="9"/>
  <c r="AN45" i="2"/>
  <c r="V43" i="9"/>
  <c r="G113" i="9" s="1"/>
  <c r="H113" i="9" s="1"/>
  <c r="I113" i="9" s="1"/>
  <c r="Q86" i="9"/>
  <c r="Y86" i="9" s="1"/>
  <c r="Y63" i="9"/>
  <c r="Y66" i="9"/>
  <c r="Q89" i="9"/>
  <c r="Y89" i="9" s="1"/>
  <c r="I132" i="9" s="1"/>
  <c r="I141" i="9" s="1"/>
  <c r="D81" i="9"/>
  <c r="K81" i="9" s="1"/>
  <c r="E131" i="9" s="1"/>
  <c r="E140" i="9" s="1"/>
  <c r="K57" i="9"/>
  <c r="H48" i="9"/>
  <c r="H72" i="9" s="1"/>
  <c r="H95" i="9" s="1"/>
  <c r="G48" i="9"/>
  <c r="G72" i="9" s="1"/>
  <c r="G95" i="9" s="1"/>
  <c r="Y65" i="9"/>
  <c r="Q88" i="9"/>
  <c r="Y88" i="9" s="1"/>
  <c r="I131" i="9" s="1"/>
  <c r="I140" i="9" s="1"/>
  <c r="AB81" i="9"/>
  <c r="AI81" i="9" s="1"/>
  <c r="G131" i="9" s="1"/>
  <c r="K140" i="9" s="1"/>
  <c r="AI57" i="9"/>
  <c r="K64" i="9"/>
  <c r="D87" i="9"/>
  <c r="K87" i="9" s="1"/>
  <c r="H130" i="9" s="1"/>
  <c r="F139" i="9" s="1"/>
  <c r="G34" i="9"/>
  <c r="H34" i="9"/>
  <c r="D51" i="9"/>
  <c r="D75" i="9" s="1"/>
  <c r="J34" i="9"/>
  <c r="F34" i="9"/>
  <c r="F51" i="9"/>
  <c r="F75" i="9" s="1"/>
  <c r="F98" i="9" s="1"/>
  <c r="I34" i="9"/>
  <c r="H51" i="9"/>
  <c r="H75" i="9" s="1"/>
  <c r="H98" i="9" s="1"/>
  <c r="I42" i="9"/>
  <c r="AB83" i="9"/>
  <c r="AI83" i="9" s="1"/>
  <c r="G133" i="9" s="1"/>
  <c r="K142" i="9" s="1"/>
  <c r="AI59" i="9"/>
  <c r="AB80" i="9"/>
  <c r="AI80" i="9" s="1"/>
  <c r="G130" i="9" s="1"/>
  <c r="K139" i="9" s="1"/>
  <c r="AI56" i="9"/>
  <c r="H43" i="9"/>
  <c r="D31" i="9"/>
  <c r="G51" i="9"/>
  <c r="G75" i="9" s="1"/>
  <c r="G98" i="9" s="1"/>
  <c r="Y82" i="9"/>
  <c r="F132" i="9" s="1"/>
  <c r="H141" i="9" s="1"/>
  <c r="AN46" i="2"/>
  <c r="D86" i="9"/>
  <c r="K86" i="9" s="1"/>
  <c r="K63" i="9"/>
  <c r="AK16" i="8"/>
  <c r="D79" i="9"/>
  <c r="K79" i="9" s="1"/>
  <c r="E129" i="9" s="1"/>
  <c r="E138" i="9" s="1"/>
  <c r="K55" i="9"/>
  <c r="D83" i="9"/>
  <c r="K83" i="9" s="1"/>
  <c r="E133" i="9" s="1"/>
  <c r="E142" i="9" s="1"/>
  <c r="K59" i="9"/>
  <c r="AB82" i="9"/>
  <c r="AI82" i="9" s="1"/>
  <c r="G132" i="9" s="1"/>
  <c r="K141" i="9" s="1"/>
  <c r="AI58" i="9"/>
  <c r="AI67" i="9"/>
  <c r="AB90" i="9"/>
  <c r="AI90" i="9" s="1"/>
  <c r="J133" i="9" s="1"/>
  <c r="L142" i="9" s="1"/>
  <c r="K65" i="9"/>
  <c r="D88" i="9"/>
  <c r="K88" i="9" s="1"/>
  <c r="H131" i="9" s="1"/>
  <c r="F140" i="9" s="1"/>
  <c r="H31" i="9"/>
  <c r="I31" i="9"/>
  <c r="J31" i="9"/>
  <c r="G31" i="9"/>
  <c r="F31" i="9"/>
  <c r="E31" i="9"/>
  <c r="I48" i="9"/>
  <c r="I72" i="9" s="1"/>
  <c r="I95" i="9" s="1"/>
  <c r="AI66" i="9"/>
  <c r="AB89" i="9"/>
  <c r="AI89" i="9" s="1"/>
  <c r="J132" i="9" s="1"/>
  <c r="L141" i="9" s="1"/>
  <c r="F48" i="9"/>
  <c r="F72" i="9" s="1"/>
  <c r="F95" i="9" s="1"/>
  <c r="D82" i="9"/>
  <c r="K82" i="9" s="1"/>
  <c r="E132" i="9" s="1"/>
  <c r="E141" i="9" s="1"/>
  <c r="K58" i="9"/>
  <c r="AI63" i="9"/>
  <c r="AB86" i="9"/>
  <c r="AI86" i="9" s="1"/>
  <c r="AJ16" i="6"/>
  <c r="AN44" i="2"/>
  <c r="AG43" i="9"/>
  <c r="G114" i="9" s="1"/>
  <c r="H114" i="9" s="1"/>
  <c r="I114" i="9" s="1"/>
  <c r="Y64" i="9"/>
  <c r="Q87" i="9"/>
  <c r="Y87" i="9" s="1"/>
  <c r="I130" i="9" s="1"/>
  <c r="I139" i="9" s="1"/>
  <c r="K66" i="9"/>
  <c r="D89" i="9"/>
  <c r="K89" i="9" s="1"/>
  <c r="H132" i="9" s="1"/>
  <c r="F141" i="9" s="1"/>
  <c r="AN16" i="5"/>
  <c r="D80" i="9"/>
  <c r="K80" i="9" s="1"/>
  <c r="E130" i="9" s="1"/>
  <c r="E139" i="9" s="1"/>
  <c r="K56" i="9"/>
  <c r="AK16" i="4"/>
  <c r="AN47" i="2"/>
  <c r="I30" i="9"/>
  <c r="H30" i="9"/>
  <c r="G30" i="9"/>
  <c r="E47" i="9"/>
  <c r="E71" i="9" s="1"/>
  <c r="E94" i="9" s="1"/>
  <c r="F47" i="9"/>
  <c r="F71" i="9" s="1"/>
  <c r="F94" i="9" s="1"/>
  <c r="J30" i="9"/>
  <c r="D47" i="9"/>
  <c r="D71" i="9" s="1"/>
  <c r="F30" i="9"/>
  <c r="E30" i="9"/>
  <c r="K30" i="9" s="1"/>
  <c r="H47" i="9"/>
  <c r="H71" i="9" s="1"/>
  <c r="H94" i="9" s="1"/>
  <c r="I38" i="9"/>
  <c r="G43" i="9"/>
  <c r="I39" i="9"/>
  <c r="E51" i="9"/>
  <c r="E75" i="9" s="1"/>
  <c r="E98" i="9" s="1"/>
  <c r="J51" i="9"/>
  <c r="J75" i="9" s="1"/>
  <c r="J98" i="9" s="1"/>
  <c r="J48" i="9"/>
  <c r="J72" i="9" s="1"/>
  <c r="J95" i="9" s="1"/>
  <c r="Q80" i="9"/>
  <c r="Y80" i="9" s="1"/>
  <c r="F130" i="9" s="1"/>
  <c r="H139" i="9" s="1"/>
  <c r="Y56" i="9"/>
  <c r="J47" i="9"/>
  <c r="J71" i="9" s="1"/>
  <c r="J94" i="9" s="1"/>
  <c r="AK6" i="12" l="1"/>
  <c r="K9" i="12"/>
  <c r="M30" i="9"/>
  <c r="AJ35" i="9"/>
  <c r="J35" i="9"/>
  <c r="M31" i="9"/>
  <c r="K31" i="9"/>
  <c r="H35" i="9"/>
  <c r="I35" i="9"/>
  <c r="L30" i="9"/>
  <c r="L31" i="9"/>
  <c r="G35" i="9"/>
  <c r="L34" i="9"/>
  <c r="D35" i="9"/>
  <c r="X35" i="9"/>
  <c r="E35" i="9"/>
  <c r="F35" i="9"/>
  <c r="M34" i="9"/>
  <c r="K34" i="9"/>
  <c r="K8" i="12"/>
  <c r="L8" i="12"/>
  <c r="AK8" i="12"/>
  <c r="AL8" i="12"/>
  <c r="L11" i="12"/>
  <c r="K11" i="12"/>
  <c r="AK7" i="12"/>
  <c r="AL7" i="12"/>
  <c r="H129" i="9"/>
  <c r="F138" i="9" s="1"/>
  <c r="K91" i="9"/>
  <c r="Y79" i="9"/>
  <c r="F129" i="9" s="1"/>
  <c r="H138" i="9" s="1"/>
  <c r="K6" i="12"/>
  <c r="L6" i="12"/>
  <c r="J15" i="12"/>
  <c r="AL5" i="12"/>
  <c r="AJ10" i="12"/>
  <c r="AK5" i="12"/>
  <c r="X7" i="12"/>
  <c r="Y7" i="12"/>
  <c r="L13" i="12"/>
  <c r="K13" i="12"/>
  <c r="I129" i="9"/>
  <c r="I138" i="9" s="1"/>
  <c r="Y91" i="9"/>
  <c r="K7" i="12"/>
  <c r="L7" i="12"/>
  <c r="W12" i="12"/>
  <c r="X6" i="12"/>
  <c r="Y6" i="12"/>
  <c r="J129" i="9"/>
  <c r="L138" i="9" s="1"/>
  <c r="AI91" i="9"/>
  <c r="L12" i="12"/>
  <c r="K12" i="12"/>
  <c r="Y9" i="12"/>
  <c r="X9" i="12"/>
  <c r="AL9" i="12"/>
  <c r="AK9" i="12"/>
  <c r="K14" i="12"/>
  <c r="L14" i="12"/>
  <c r="X8" i="12"/>
  <c r="Y8" i="12"/>
  <c r="Y11" i="12"/>
  <c r="X11" i="12"/>
  <c r="Y10" i="12"/>
  <c r="X10" i="12"/>
  <c r="Y97" i="9"/>
  <c r="L132" i="9" s="1"/>
  <c r="J141" i="9" s="1"/>
  <c r="Y98" i="9"/>
  <c r="L133" i="9" s="1"/>
  <c r="J142" i="9" s="1"/>
  <c r="D98" i="9"/>
  <c r="K98" i="9" s="1"/>
  <c r="K133" i="9" s="1"/>
  <c r="G142" i="9" s="1"/>
  <c r="AB98" i="9"/>
  <c r="AI98" i="9" s="1"/>
  <c r="M133" i="9" s="1"/>
  <c r="M142" i="9" s="1"/>
  <c r="N27" i="9"/>
  <c r="D96" i="9"/>
  <c r="K96" i="9" s="1"/>
  <c r="K131" i="9" s="1"/>
  <c r="G140" i="9" s="1"/>
  <c r="D97" i="9"/>
  <c r="K97" i="9" s="1"/>
  <c r="K132" i="9" s="1"/>
  <c r="G141" i="9" s="1"/>
  <c r="AB97" i="9"/>
  <c r="AI97" i="9" s="1"/>
  <c r="M132" i="9" s="1"/>
  <c r="M141" i="9" s="1"/>
  <c r="Q95" i="9"/>
  <c r="Y95" i="9" s="1"/>
  <c r="L130" i="9" s="1"/>
  <c r="J139" i="9" s="1"/>
  <c r="D95" i="9"/>
  <c r="K95" i="9" s="1"/>
  <c r="K130" i="9" s="1"/>
  <c r="G139" i="9" s="1"/>
  <c r="D94" i="9"/>
  <c r="K94" i="9" s="1"/>
  <c r="K129" i="9" s="1"/>
  <c r="G138" i="9" s="1"/>
  <c r="Q94" i="9"/>
  <c r="Y94" i="9" s="1"/>
  <c r="L129" i="9" s="1"/>
  <c r="J138" i="9" s="1"/>
  <c r="AB95" i="9"/>
  <c r="AI95" i="9" s="1"/>
  <c r="M130" i="9" s="1"/>
  <c r="M139" i="9" s="1"/>
  <c r="AB96" i="9"/>
  <c r="AI96" i="9" s="1"/>
  <c r="M131" i="9" s="1"/>
  <c r="M140" i="9" s="1"/>
  <c r="I43" i="9"/>
  <c r="G112" i="9" s="1"/>
  <c r="H112" i="9" s="1"/>
  <c r="I112" i="9" s="1"/>
  <c r="F107" i="9" l="1"/>
  <c r="G107" i="9" s="1"/>
  <c r="H107" i="9" s="1"/>
  <c r="K35" i="9"/>
  <c r="M35" i="9"/>
  <c r="Y12" i="12"/>
  <c r="AK10" i="12"/>
  <c r="AL10" i="12"/>
  <c r="X12" i="12"/>
  <c r="L15" i="12"/>
  <c r="K15" i="12"/>
</calcChain>
</file>

<file path=xl/sharedStrings.xml><?xml version="1.0" encoding="utf-8"?>
<sst xmlns="http://schemas.openxmlformats.org/spreadsheetml/2006/main" count="3509" uniqueCount="674">
  <si>
    <t>Vehicle Information</t>
  </si>
  <si>
    <t>Tier 1</t>
  </si>
  <si>
    <t>Tier 2</t>
  </si>
  <si>
    <t>Brand Name</t>
  </si>
  <si>
    <t>Model</t>
  </si>
  <si>
    <t>Engine capacity
(cm3)</t>
  </si>
  <si>
    <t>Horsepower
(CV)</t>
  </si>
  <si>
    <t>Energy Source</t>
  </si>
  <si>
    <t>Engine type</t>
  </si>
  <si>
    <t>Date of first use</t>
  </si>
  <si>
    <t>Fuel efficiency
(litres/100km)</t>
  </si>
  <si>
    <t>Fuel mileage
(km/L)</t>
  </si>
  <si>
    <t>Engine emission factor
(kgCO2/liter)</t>
  </si>
  <si>
    <t>Reference</t>
  </si>
  <si>
    <t>SOA</t>
  </si>
  <si>
    <t>Toyota</t>
  </si>
  <si>
    <t>HIACE 21JK12</t>
  </si>
  <si>
    <t>Gas</t>
  </si>
  <si>
    <t>Diesel</t>
  </si>
  <si>
    <t>17/05/1997</t>
  </si>
  <si>
    <t>Diesel large: Euro 2</t>
  </si>
  <si>
    <t>https://motoreu.com/toyota-hiace-combi-2.5-d-4d-mpg-fuel-consumption-technical-specifications-174601</t>
  </si>
  <si>
    <t>HIACE 4XD</t>
  </si>
  <si>
    <t>10/02/2000</t>
  </si>
  <si>
    <t>Diesel large: Euro 3</t>
  </si>
  <si>
    <t>https://www.carsales.com.au/research/toyota/hiace/2000/</t>
  </si>
  <si>
    <t>BB42L-BRMRS</t>
  </si>
  <si>
    <t>Diesel large: Euro 6 a/b/c</t>
  </si>
  <si>
    <t>https://www.fosterstoyota.com/blog/toyota-coaster-4-2l-diesel-1737809279010</t>
  </si>
  <si>
    <t>Mercedes</t>
  </si>
  <si>
    <t>MB100D 631334</t>
  </si>
  <si>
    <t>25/01/1994</t>
  </si>
  <si>
    <t>Diesel large: Euro 1</t>
  </si>
  <si>
    <t>https://www.youtube.com/watch?v=Prxw5jUTpp4</t>
  </si>
  <si>
    <t>Sprinter 904663</t>
  </si>
  <si>
    <t>https://www.spritmonitor.de/en/detail/390169.html?page=2</t>
  </si>
  <si>
    <t>29/09/1993</t>
  </si>
  <si>
    <t>https://www.spritmonitor.de/en/detail/281441.html?cdetail=1</t>
  </si>
  <si>
    <t>Average</t>
  </si>
  <si>
    <t>MFOU</t>
  </si>
  <si>
    <t>64ABK</t>
  </si>
  <si>
    <t>Petrol</t>
  </si>
  <si>
    <t>10/05/1997</t>
  </si>
  <si>
    <t>Petrol small: Euro 2</t>
  </si>
  <si>
    <t>52EP82</t>
  </si>
  <si>
    <t>01/01/1993</t>
  </si>
  <si>
    <t>Petrol small: Euro 1</t>
  </si>
  <si>
    <t>https://www.pakwheels.com/new-cars/toyota/starlet/fuel-average/</t>
  </si>
  <si>
    <t>http://www.demoporto.com/images/provas/2019/RampaPenha/3-Resultados/CPM/09-%20Tempos%20Subida%20Oficial%203%20CPM.pdf</t>
  </si>
  <si>
    <t>https://www.pakwheels.com/new-cars/toyota/starlet/1-3--2/</t>
  </si>
  <si>
    <t>53ABNO</t>
  </si>
  <si>
    <t>20/10/2000</t>
  </si>
  <si>
    <t>Petrol small: Euro 3</t>
  </si>
  <si>
    <t>https://podbor.ravenol.ru/1-cars/535-toyota/2206-avensis-t22/6163-avensis-1-6/</t>
  </si>
  <si>
    <t>https://www.auto-data.net/en/toyota-avensis-hatch-t22-1.6-101hp-3610</t>
  </si>
  <si>
    <t>YARIS VVT-I</t>
  </si>
  <si>
    <t>22/09/2004</t>
  </si>
  <si>
    <t>Petrol mini: Euro 3</t>
  </si>
  <si>
    <t>https://car-emissions.com/cars/view/11408</t>
  </si>
  <si>
    <t>NCP92L</t>
  </si>
  <si>
    <t>01/01/2007</t>
  </si>
  <si>
    <t>Petrol small: Euro 5</t>
  </si>
  <si>
    <t>https://www.carsales.com.au/research/toyota/yaris/2007/</t>
  </si>
  <si>
    <t>KSP902</t>
  </si>
  <si>
    <t>Petrol mini: Euro 5</t>
  </si>
  <si>
    <t>https://cars.japanesecartrade.com/detail/toyota/vitz/b-intelligent-package/131468</t>
  </si>
  <si>
    <t>996cc</t>
  </si>
  <si>
    <t>AVENSIS GH22B2</t>
  </si>
  <si>
    <t>31/03/2005</t>
  </si>
  <si>
    <t>Petrol medium: Euro 4</t>
  </si>
  <si>
    <t>weight difference</t>
  </si>
  <si>
    <t>https://www.autoevolution.com/cars/toyota-avensis-2003.html#aeng_toyota-avensis-2003-20-vvti-4at-147-hp</t>
  </si>
  <si>
    <t>240D123</t>
  </si>
  <si>
    <t>24/07/2001</t>
  </si>
  <si>
    <t>https://www.spritmonitor.de/en/detail/797414.html?cdetail=1</t>
  </si>
  <si>
    <t>MBANKOMO</t>
  </si>
  <si>
    <t>26/01/2001</t>
  </si>
  <si>
    <t>https://www.ultimatespecs.com/car-specs/Toyota/5193/Toyota-Avensis-I-16.html</t>
  </si>
  <si>
    <t>64ZBN1</t>
  </si>
  <si>
    <t>31/01/2001</t>
  </si>
  <si>
    <t>https://choise.ravenol.com/1-cars/535-toyota/2206-avensis-t22/6166-avensis-1-8-16v-vtt-i/</t>
  </si>
  <si>
    <t>https://www.engineindetail.com/pa/toyota-avensis-liftback-1-8-style-2001</t>
  </si>
  <si>
    <t>COROLLA VVT-1</t>
  </si>
  <si>
    <t>01/01/1999</t>
  </si>
  <si>
    <t>https://www.ultimatespecs.com/car-specs/Toyota/5296/Toyota-Corolla-VIII-5-door-14-16v-VVT-i.html</t>
  </si>
  <si>
    <t>EE90</t>
  </si>
  <si>
    <t>01/01/1990</t>
  </si>
  <si>
    <t>https://www.spritmonitor.de/en/detail/393752.html?cdetail=1</t>
  </si>
  <si>
    <t>https://www.careka.lk/en/vehicle/toyota-corolla-ee90-1990-4</t>
  </si>
  <si>
    <t>https://www.beforward.jp/toyota/corolla-sedan/bf163753/id/159049/</t>
  </si>
  <si>
    <t>KV123</t>
  </si>
  <si>
    <t>09/07/1999</t>
  </si>
  <si>
    <t>Petrol mini: Euro 2</t>
  </si>
  <si>
    <t>https://www.facebook.com/story.php/?story_fbid=367416665933900&amp;id=100079967086663&amp;_rdr</t>
  </si>
  <si>
    <t>Petrol mini: Euro 4</t>
  </si>
  <si>
    <t>https://car-emissions.com/cars/view/11407</t>
  </si>
  <si>
    <t>https://www.emissionsfinder.com/toyota-yaris-10-vvt-i-10cc-3</t>
  </si>
  <si>
    <t>Total distance</t>
  </si>
  <si>
    <t>Distance covered x round trip x trips per month</t>
  </si>
  <si>
    <t>Fuel consumption</t>
  </si>
  <si>
    <t>Total distance x fuel efficiency</t>
  </si>
  <si>
    <t>Monday Tailpipe Emissions</t>
  </si>
  <si>
    <t>Soa</t>
  </si>
  <si>
    <t>Mfou</t>
  </si>
  <si>
    <t>Mbankomo</t>
  </si>
  <si>
    <t>Fuel consumed on total stretch</t>
  </si>
  <si>
    <t>litres</t>
  </si>
  <si>
    <t>Information from driver interview</t>
  </si>
  <si>
    <t>Number of buses</t>
  </si>
  <si>
    <t>Time frame</t>
  </si>
  <si>
    <t>Number of Vehicles</t>
  </si>
  <si>
    <t>06:00 - 07:00</t>
  </si>
  <si>
    <t>07:00 - 10:00</t>
  </si>
  <si>
    <t>10:00 - 15:00</t>
  </si>
  <si>
    <t>15:00 - 19:00</t>
  </si>
  <si>
    <t>19:00 - 22:00</t>
  </si>
  <si>
    <t>Number of days in a year</t>
  </si>
  <si>
    <t>6:00-7:00 Scenario</t>
  </si>
  <si>
    <t>Tail Pipe Emissions</t>
  </si>
  <si>
    <t>Monday 6:00-7:00 Scenario</t>
  </si>
  <si>
    <t>Road Network Stretches</t>
  </si>
  <si>
    <t>Soa-Yaounde</t>
  </si>
  <si>
    <t>Cummulative distance (Km)</t>
  </si>
  <si>
    <t>Distance per stretch
(km)</t>
  </si>
  <si>
    <t>Clock Time
(mins)</t>
  </si>
  <si>
    <t>Average time Taken 
(min)</t>
  </si>
  <si>
    <t>Tier 1 Emissions 
(kg CO2)
(Daily)</t>
  </si>
  <si>
    <t>Tier 2 Emissions 
(kg CO2)
(Daily)</t>
  </si>
  <si>
    <t>Mfou-Yaounde</t>
  </si>
  <si>
    <t>Distance per stretch</t>
  </si>
  <si>
    <t>Clock Time</t>
  </si>
  <si>
    <t>Average time Taken (min)</t>
  </si>
  <si>
    <t>Mbankomo-Yaounde</t>
  </si>
  <si>
    <t xml:space="preserve">Soa Centre </t>
  </si>
  <si>
    <t>6:00</t>
  </si>
  <si>
    <t>Marche Mfou</t>
  </si>
  <si>
    <t>Green oil</t>
  </si>
  <si>
    <t xml:space="preserve">Soa Centre -Vallée vert </t>
  </si>
  <si>
    <t>6:07</t>
  </si>
  <si>
    <t>Marche Mfou - Gare Mfou</t>
  </si>
  <si>
    <t>6:02</t>
  </si>
  <si>
    <t>Green oil - Entrée Ngoumou</t>
  </si>
  <si>
    <t>6:05</t>
  </si>
  <si>
    <t xml:space="preserve">Vallée vert -Petite marché </t>
  </si>
  <si>
    <t>6:10</t>
  </si>
  <si>
    <t>Gare Mfou - Gustave Eiffel</t>
  </si>
  <si>
    <t>Entrée Ngoumou - Carrefour Nomayos</t>
  </si>
  <si>
    <t>6:12</t>
  </si>
  <si>
    <t>Petite marché-Eleveur</t>
  </si>
  <si>
    <t>6:14</t>
  </si>
  <si>
    <t>Gustave Eiffel - Entrée EP Meyo</t>
  </si>
  <si>
    <t>Carrefour Nomayos - Entrée CIMENCAM</t>
  </si>
  <si>
    <t>6:19</t>
  </si>
  <si>
    <t xml:space="preserve">Eleveur-Total Ngoussou </t>
  </si>
  <si>
    <t>6:18</t>
  </si>
  <si>
    <t>Entrée EP Meyo - Carrefour Nkongoa</t>
  </si>
  <si>
    <t>Entrée CIMENCAM - Barrier (Tradex Ahala)</t>
  </si>
  <si>
    <t>6:35</t>
  </si>
  <si>
    <t xml:space="preserve">Total Ngoussou -Mobil Omnisport </t>
  </si>
  <si>
    <t>6:26</t>
  </si>
  <si>
    <t>Carrefour Nkongoa - Carrefour Monti</t>
  </si>
  <si>
    <t>6:24</t>
  </si>
  <si>
    <t>Total</t>
  </si>
  <si>
    <t xml:space="preserve">Mobil Omnisport -Texaco Omnisport </t>
  </si>
  <si>
    <t>6:31</t>
  </si>
  <si>
    <t>Carrefour Monti - Hawai Escallier</t>
  </si>
  <si>
    <t>6:30</t>
  </si>
  <si>
    <t>Texaco Omnisport -Total Mfouda</t>
  </si>
  <si>
    <t>6:38</t>
  </si>
  <si>
    <t>Total Mfouda-Mobil Elig-Essono</t>
  </si>
  <si>
    <t>6:41</t>
  </si>
  <si>
    <t>Mobil Elig-Essono-Camair</t>
  </si>
  <si>
    <t>6:42</t>
  </si>
  <si>
    <t>Daily time coverage per stretch (Soa Centre - CAMAIR)</t>
  </si>
  <si>
    <t>7:00-10:00 Scenario</t>
  </si>
  <si>
    <t>Monday 7:00-10:00 Scenario</t>
  </si>
  <si>
    <t>Soa-Yaounde: Road Network Stretches</t>
  </si>
  <si>
    <t>Mfou-Yaounde: Road Network Stretches</t>
  </si>
  <si>
    <t>Mbankomo-Yaounde: Road Network Stretches</t>
  </si>
  <si>
    <t>6:00 - 7:00</t>
  </si>
  <si>
    <t>7:00 - 10:00</t>
  </si>
  <si>
    <t>7:30</t>
  </si>
  <si>
    <t>8:00</t>
  </si>
  <si>
    <t>7:00</t>
  </si>
  <si>
    <t>Monday</t>
  </si>
  <si>
    <t>7:37</t>
  </si>
  <si>
    <t>8:02</t>
  </si>
  <si>
    <t>7:06</t>
  </si>
  <si>
    <t>Tuesday</t>
  </si>
  <si>
    <t>7:4</t>
  </si>
  <si>
    <t>8:06</t>
  </si>
  <si>
    <t>7:14</t>
  </si>
  <si>
    <t>Wednesday</t>
  </si>
  <si>
    <t>7:48</t>
  </si>
  <si>
    <t>8:15</t>
  </si>
  <si>
    <t>7:26</t>
  </si>
  <si>
    <t>Thursday</t>
  </si>
  <si>
    <t>7:55</t>
  </si>
  <si>
    <t>8:24</t>
  </si>
  <si>
    <t>7:52</t>
  </si>
  <si>
    <t>Friday</t>
  </si>
  <si>
    <t>8:10</t>
  </si>
  <si>
    <t>8:36</t>
  </si>
  <si>
    <t>Saturday</t>
  </si>
  <si>
    <t>8:16</t>
  </si>
  <si>
    <t>8:50</t>
  </si>
  <si>
    <t>Sunday</t>
  </si>
  <si>
    <t>8:27</t>
  </si>
  <si>
    <t>8:3</t>
  </si>
  <si>
    <t>8:32</t>
  </si>
  <si>
    <t>10:00-15:00 Scenario</t>
  </si>
  <si>
    <t>Monday 10:00-15:00 Scenario</t>
  </si>
  <si>
    <t>Daily Tailpipe Emissions in kg CO2 (Tier 1)</t>
  </si>
  <si>
    <t>TOTAL</t>
  </si>
  <si>
    <t>11:30</t>
  </si>
  <si>
    <t>11:00</t>
  </si>
  <si>
    <t>15:00</t>
  </si>
  <si>
    <t>11:37</t>
  </si>
  <si>
    <t>11:02</t>
  </si>
  <si>
    <t>15:05</t>
  </si>
  <si>
    <t>11:39</t>
  </si>
  <si>
    <t>11:06</t>
  </si>
  <si>
    <t>15:12</t>
  </si>
  <si>
    <t>11:43</t>
  </si>
  <si>
    <t>11:15</t>
  </si>
  <si>
    <t>15:18</t>
  </si>
  <si>
    <t>11:46</t>
  </si>
  <si>
    <t>11:21</t>
  </si>
  <si>
    <t>15:35</t>
  </si>
  <si>
    <t>11:54</t>
  </si>
  <si>
    <t>11:28</t>
  </si>
  <si>
    <t>11:58</t>
  </si>
  <si>
    <t>11:35</t>
  </si>
  <si>
    <t>12:03</t>
  </si>
  <si>
    <t>12:05</t>
  </si>
  <si>
    <t>12:06</t>
  </si>
  <si>
    <t>15:00-19:00 Scenario</t>
  </si>
  <si>
    <t>Monday 15:00-19:00 Scenario</t>
  </si>
  <si>
    <t>15:30</t>
  </si>
  <si>
    <t>15:37</t>
  </si>
  <si>
    <t>15:02</t>
  </si>
  <si>
    <t>15:06</t>
  </si>
  <si>
    <t>15:43</t>
  </si>
  <si>
    <t>15:08</t>
  </si>
  <si>
    <t>15:15</t>
  </si>
  <si>
    <t>15:51</t>
  </si>
  <si>
    <t>15:31</t>
  </si>
  <si>
    <t>15:58</t>
  </si>
  <si>
    <t>15:25</t>
  </si>
  <si>
    <t>16:00</t>
  </si>
  <si>
    <t>16:13</t>
  </si>
  <si>
    <t>16:19</t>
  </si>
  <si>
    <t>15:48</t>
  </si>
  <si>
    <t>16:30</t>
  </si>
  <si>
    <t>16:33</t>
  </si>
  <si>
    <t>16:36</t>
  </si>
  <si>
    <t>19:00-22:00 Scenario</t>
  </si>
  <si>
    <t>Monday 19:00-22:00 Scenario</t>
  </si>
  <si>
    <t>19:34</t>
  </si>
  <si>
    <t>19:00</t>
  </si>
  <si>
    <t>19:41</t>
  </si>
  <si>
    <t>19:02</t>
  </si>
  <si>
    <t>19:05</t>
  </si>
  <si>
    <t>19:47</t>
  </si>
  <si>
    <t>19:07</t>
  </si>
  <si>
    <t>19:12</t>
  </si>
  <si>
    <t>19:54</t>
  </si>
  <si>
    <t>19:16</t>
  </si>
  <si>
    <t>19:21</t>
  </si>
  <si>
    <t>20:00</t>
  </si>
  <si>
    <t>19:23</t>
  </si>
  <si>
    <t>19:43</t>
  </si>
  <si>
    <t>20:13</t>
  </si>
  <si>
    <t>19:29</t>
  </si>
  <si>
    <t>20:18</t>
  </si>
  <si>
    <t>19:38</t>
  </si>
  <si>
    <t>20:27</t>
  </si>
  <si>
    <t>20:29</t>
  </si>
  <si>
    <t>20:30</t>
  </si>
  <si>
    <t>Tuesday Tailpipe Emissions</t>
  </si>
  <si>
    <t>Units</t>
  </si>
  <si>
    <t>Daily Tail Pipe Emissions</t>
  </si>
  <si>
    <t>Tuesday  6:00-7:00 Scenario</t>
  </si>
  <si>
    <t>6:15</t>
  </si>
  <si>
    <t>6:21</t>
  </si>
  <si>
    <t>6:17</t>
  </si>
  <si>
    <t>6:27</t>
  </si>
  <si>
    <t>6:49</t>
  </si>
  <si>
    <t>6:25</t>
  </si>
  <si>
    <t>6:40</t>
  </si>
  <si>
    <t>6:36</t>
  </si>
  <si>
    <t>6:39</t>
  </si>
  <si>
    <t>Tuesday 7:00-10:00 Scenario</t>
  </si>
  <si>
    <t>7:15</t>
  </si>
  <si>
    <t>7:17</t>
  </si>
  <si>
    <t>7:20</t>
  </si>
  <si>
    <t>7:40</t>
  </si>
  <si>
    <t>7:22</t>
  </si>
  <si>
    <t>7:28</t>
  </si>
  <si>
    <t>7:32</t>
  </si>
  <si>
    <t>7:39</t>
  </si>
  <si>
    <t>8:05</t>
  </si>
  <si>
    <t>8:09</t>
  </si>
  <si>
    <t>7:51</t>
  </si>
  <si>
    <t>8:25</t>
  </si>
  <si>
    <t>8:28</t>
  </si>
  <si>
    <t>8:30</t>
  </si>
  <si>
    <t>Tuesday 10:00-15:00 Scenario</t>
  </si>
  <si>
    <t>10:00</t>
  </si>
  <si>
    <t>10:05</t>
  </si>
  <si>
    <t>10:11</t>
  </si>
  <si>
    <t>11:42</t>
  </si>
  <si>
    <t>11:16</t>
  </si>
  <si>
    <t>10:19</t>
  </si>
  <si>
    <t>11:45</t>
  </si>
  <si>
    <t>10:34</t>
  </si>
  <si>
    <t>11:26</t>
  </si>
  <si>
    <t>11:31</t>
  </si>
  <si>
    <t>12:02</t>
  </si>
  <si>
    <t>12:04</t>
  </si>
  <si>
    <t>Tuesday 15:00-19:00 Scenario</t>
  </si>
  <si>
    <t>15:32</t>
  </si>
  <si>
    <t>15:38</t>
  </si>
  <si>
    <t>15:50</t>
  </si>
  <si>
    <t>15:47</t>
  </si>
  <si>
    <t>15:29</t>
  </si>
  <si>
    <t>15:54</t>
  </si>
  <si>
    <t>16:11</t>
  </si>
  <si>
    <t>16:02</t>
  </si>
  <si>
    <t>16:17</t>
  </si>
  <si>
    <t>16:27</t>
  </si>
  <si>
    <t>Tuesday 19:00-22:00 Scenario</t>
  </si>
  <si>
    <t>19:46</t>
  </si>
  <si>
    <t>19:06</t>
  </si>
  <si>
    <t>19:52</t>
  </si>
  <si>
    <t>19:20</t>
  </si>
  <si>
    <t>19:57</t>
  </si>
  <si>
    <t>19:42</t>
  </si>
  <si>
    <t>20:09</t>
  </si>
  <si>
    <t>19:28</t>
  </si>
  <si>
    <t>20:14</t>
  </si>
  <si>
    <t>20:22</t>
  </si>
  <si>
    <t>20:24</t>
  </si>
  <si>
    <t>20:25</t>
  </si>
  <si>
    <t>Wednesday Tailpipe Emissions</t>
  </si>
  <si>
    <t>Wednesday  6:00-7:00 Scenario</t>
  </si>
  <si>
    <t>Annual Tailpipe Emissions in kg CO2 (Tier 1)</t>
  </si>
  <si>
    <t>6:11</t>
  </si>
  <si>
    <t>6:16</t>
  </si>
  <si>
    <t>6:20</t>
  </si>
  <si>
    <t>6:34</t>
  </si>
  <si>
    <t>6:28</t>
  </si>
  <si>
    <t>6:33</t>
  </si>
  <si>
    <t>6:37</t>
  </si>
  <si>
    <t>Wednesday 7:00-10:00 Scenario</t>
  </si>
  <si>
    <t>7:02</t>
  </si>
  <si>
    <t>7:05</t>
  </si>
  <si>
    <t>7:08</t>
  </si>
  <si>
    <t>7:13</t>
  </si>
  <si>
    <t>7:24</t>
  </si>
  <si>
    <t>7:23</t>
  </si>
  <si>
    <t>7:50</t>
  </si>
  <si>
    <t>8:08</t>
  </si>
  <si>
    <t>7:31</t>
  </si>
  <si>
    <t>8:14</t>
  </si>
  <si>
    <t>Wednesday 10:00-15:00 Scenario</t>
  </si>
  <si>
    <t>10:02</t>
  </si>
  <si>
    <t>10:06</t>
  </si>
  <si>
    <t>10:12</t>
  </si>
  <si>
    <t>10:15</t>
  </si>
  <si>
    <t>10:21</t>
  </si>
  <si>
    <t>10:24</t>
  </si>
  <si>
    <t>10:30</t>
  </si>
  <si>
    <t>12:11</t>
  </si>
  <si>
    <t>12:13</t>
  </si>
  <si>
    <t>12:14</t>
  </si>
  <si>
    <t>Wednesday 15:00-19:00 Scenario</t>
  </si>
  <si>
    <t>16:05</t>
  </si>
  <si>
    <t>16:07</t>
  </si>
  <si>
    <t>16:26</t>
  </si>
  <si>
    <t>15:57</t>
  </si>
  <si>
    <t>16:22</t>
  </si>
  <si>
    <t>16:54</t>
  </si>
  <si>
    <t>16:10</t>
  </si>
  <si>
    <t>16:16</t>
  </si>
  <si>
    <t>16:46</t>
  </si>
  <si>
    <t>16:25</t>
  </si>
  <si>
    <t>16:28</t>
  </si>
  <si>
    <t>16:31</t>
  </si>
  <si>
    <t>Wednesday 19:00-22:00 Scenario</t>
  </si>
  <si>
    <t>19:30</t>
  </si>
  <si>
    <t>19:37</t>
  </si>
  <si>
    <t>19:15</t>
  </si>
  <si>
    <t>19:51</t>
  </si>
  <si>
    <t>19:40</t>
  </si>
  <si>
    <t>19:27</t>
  </si>
  <si>
    <t>20:05</t>
  </si>
  <si>
    <t>19:33</t>
  </si>
  <si>
    <t>20:11</t>
  </si>
  <si>
    <t>Thursday Tailpipe Emissions</t>
  </si>
  <si>
    <t>Thursday 6:00-7:00 Scenario</t>
  </si>
  <si>
    <t>6.00</t>
  </si>
  <si>
    <t>6:09</t>
  </si>
  <si>
    <t>7:34</t>
  </si>
  <si>
    <t>7:35</t>
  </si>
  <si>
    <t>7:36</t>
  </si>
  <si>
    <t>Thursday 7:00-10:00 Scenario</t>
  </si>
  <si>
    <t>7:43</t>
  </si>
  <si>
    <t>7:07</t>
  </si>
  <si>
    <t>7:49</t>
  </si>
  <si>
    <t>8:13</t>
  </si>
  <si>
    <t>7:47</t>
  </si>
  <si>
    <t>8:22</t>
  </si>
  <si>
    <t>8.25</t>
  </si>
  <si>
    <t>Thursday 10:00-15:00 Scenario</t>
  </si>
  <si>
    <t>10.00</t>
  </si>
  <si>
    <t>10:0</t>
  </si>
  <si>
    <t>10:07</t>
  </si>
  <si>
    <t>10:17</t>
  </si>
  <si>
    <t>10:5</t>
  </si>
  <si>
    <t>10:09</t>
  </si>
  <si>
    <t>10:13</t>
  </si>
  <si>
    <t>10:16</t>
  </si>
  <si>
    <t>10:35</t>
  </si>
  <si>
    <t>10:33</t>
  </si>
  <si>
    <t>10:22</t>
  </si>
  <si>
    <t>10:40</t>
  </si>
  <si>
    <t>10:45</t>
  </si>
  <si>
    <t>10:28</t>
  </si>
  <si>
    <t>10:31</t>
  </si>
  <si>
    <t>Thursday 15:00-19:00 Scenario</t>
  </si>
  <si>
    <t>15:40</t>
  </si>
  <si>
    <t>15:13</t>
  </si>
  <si>
    <t>15:46</t>
  </si>
  <si>
    <t>15:16</t>
  </si>
  <si>
    <t>15:49</t>
  </si>
  <si>
    <t>15:22</t>
  </si>
  <si>
    <t>16:01</t>
  </si>
  <si>
    <t>16:5</t>
  </si>
  <si>
    <t>15:45</t>
  </si>
  <si>
    <t>16:15</t>
  </si>
  <si>
    <t>Thursday 19:00-22:00 Scenario</t>
  </si>
  <si>
    <t xml:space="preserve">Toyota </t>
  </si>
  <si>
    <t>19:32</t>
  </si>
  <si>
    <t>19:35</t>
  </si>
  <si>
    <t>19:09</t>
  </si>
  <si>
    <t>19:36</t>
  </si>
  <si>
    <t>19:13</t>
  </si>
  <si>
    <t>19:45</t>
  </si>
  <si>
    <t>19:50</t>
  </si>
  <si>
    <t>20:10</t>
  </si>
  <si>
    <t>19:55</t>
  </si>
  <si>
    <t>19:25</t>
  </si>
  <si>
    <t>20:01</t>
  </si>
  <si>
    <t>Friday 6:00-7:00 Scenario</t>
  </si>
  <si>
    <t>6:9</t>
  </si>
  <si>
    <t>6:32</t>
  </si>
  <si>
    <t>6:23</t>
  </si>
  <si>
    <t>6:29</t>
  </si>
  <si>
    <t>Friday 7:00-10:00 Scenario</t>
  </si>
  <si>
    <t>7:12</t>
  </si>
  <si>
    <t>7:46</t>
  </si>
  <si>
    <t>7:53</t>
  </si>
  <si>
    <t>8:04</t>
  </si>
  <si>
    <t>7:33</t>
  </si>
  <si>
    <t>7:44</t>
  </si>
  <si>
    <t>8:17</t>
  </si>
  <si>
    <t>8:19</t>
  </si>
  <si>
    <t>Friday 10:00-15:00 Scenario</t>
  </si>
  <si>
    <t>10:32</t>
  </si>
  <si>
    <t>10:37</t>
  </si>
  <si>
    <t>10:41</t>
  </si>
  <si>
    <t>10:46</t>
  </si>
  <si>
    <t>10:48</t>
  </si>
  <si>
    <t>10:50</t>
  </si>
  <si>
    <t>11:01</t>
  </si>
  <si>
    <t>11:52</t>
  </si>
  <si>
    <t>10:55</t>
  </si>
  <si>
    <t>11:55</t>
  </si>
  <si>
    <t>12:00</t>
  </si>
  <si>
    <t>Friday 15:00-19:00 Scenario</t>
  </si>
  <si>
    <t>15:39</t>
  </si>
  <si>
    <t>15:42</t>
  </si>
  <si>
    <t>15:21</t>
  </si>
  <si>
    <t>15:52</t>
  </si>
  <si>
    <t>16:55</t>
  </si>
  <si>
    <t>16:58</t>
  </si>
  <si>
    <t>16:08</t>
  </si>
  <si>
    <t>Friday 19:00-22:00 Scenario</t>
  </si>
  <si>
    <t>21:00</t>
  </si>
  <si>
    <t>21:02</t>
  </si>
  <si>
    <t>21:06</t>
  </si>
  <si>
    <t>21:12</t>
  </si>
  <si>
    <t>19:11</t>
  </si>
  <si>
    <t>21:15</t>
  </si>
  <si>
    <t>21:20</t>
  </si>
  <si>
    <t>21:38</t>
  </si>
  <si>
    <t>21:25</t>
  </si>
  <si>
    <t>19:24</t>
  </si>
  <si>
    <t>21:31</t>
  </si>
  <si>
    <t>19:31</t>
  </si>
  <si>
    <t>Unit</t>
  </si>
  <si>
    <t>Saturday 6:00-7:00 Scenario</t>
  </si>
  <si>
    <t>6:04</t>
  </si>
  <si>
    <t>6:332</t>
  </si>
  <si>
    <t>6:54</t>
  </si>
  <si>
    <t>6:57</t>
  </si>
  <si>
    <t>7:03</t>
  </si>
  <si>
    <t>Saturday 7:00-10:00 Scenario</t>
  </si>
  <si>
    <t>7.30</t>
  </si>
  <si>
    <t>7:27</t>
  </si>
  <si>
    <t>7:42</t>
  </si>
  <si>
    <t>7:59</t>
  </si>
  <si>
    <t>8:03</t>
  </si>
  <si>
    <t>8:11</t>
  </si>
  <si>
    <t>8:12</t>
  </si>
  <si>
    <t>Saturday 10:00-15:00 Scenario</t>
  </si>
  <si>
    <t>11:32</t>
  </si>
  <si>
    <t>10:39</t>
  </si>
  <si>
    <t>11:36</t>
  </si>
  <si>
    <t>11:41</t>
  </si>
  <si>
    <t>10:43</t>
  </si>
  <si>
    <t>11:50</t>
  </si>
  <si>
    <t>11:49</t>
  </si>
  <si>
    <t>10::53</t>
  </si>
  <si>
    <t>10:57</t>
  </si>
  <si>
    <t>11:04</t>
  </si>
  <si>
    <t>11:05</t>
  </si>
  <si>
    <t>Saturday 15:00-19:00 Scenario</t>
  </si>
  <si>
    <t>15:11</t>
  </si>
  <si>
    <t>15:44</t>
  </si>
  <si>
    <t>15:20</t>
  </si>
  <si>
    <t>15:27</t>
  </si>
  <si>
    <t>15:36</t>
  </si>
  <si>
    <t>Saturday 19:00-22:00 Scenario</t>
  </si>
  <si>
    <t>18:30</t>
  </si>
  <si>
    <t>18:37</t>
  </si>
  <si>
    <t>20:02</t>
  </si>
  <si>
    <t>18:39</t>
  </si>
  <si>
    <t>20:06</t>
  </si>
  <si>
    <t>18:43</t>
  </si>
  <si>
    <t>Gustave Eiffel - Entrée EP Monti</t>
  </si>
  <si>
    <t>20:15</t>
  </si>
  <si>
    <t>20:20</t>
  </si>
  <si>
    <t>18:45</t>
  </si>
  <si>
    <t>Entrée EP Monti - Carrefour Nkongoa</t>
  </si>
  <si>
    <t>20:19</t>
  </si>
  <si>
    <t>20:35</t>
  </si>
  <si>
    <t>18:51</t>
  </si>
  <si>
    <t>18:55</t>
  </si>
  <si>
    <t>20:32</t>
  </si>
  <si>
    <t>19:01</t>
  </si>
  <si>
    <t>Sunday 6:00-7:00 Scenario</t>
  </si>
  <si>
    <t>6:06</t>
  </si>
  <si>
    <t>6:22</t>
  </si>
  <si>
    <t>Sunday 7:00-10:00 Scenario</t>
  </si>
  <si>
    <t>7:56</t>
  </si>
  <si>
    <t>Sunday 10:00-15:00 Scenario</t>
  </si>
  <si>
    <t>10:04</t>
  </si>
  <si>
    <t>11:07</t>
  </si>
  <si>
    <t>11:20</t>
  </si>
  <si>
    <t>11:51</t>
  </si>
  <si>
    <t>11:25</t>
  </si>
  <si>
    <t>11:57</t>
  </si>
  <si>
    <t>11:59</t>
  </si>
  <si>
    <t>Sunday 15:00-19:00 Scenario</t>
  </si>
  <si>
    <t>16:04</t>
  </si>
  <si>
    <t>15:41</t>
  </si>
  <si>
    <t>16:18</t>
  </si>
  <si>
    <t>16:20</t>
  </si>
  <si>
    <t>Sunday 19:00-22:00 Scenario</t>
  </si>
  <si>
    <t>19:04</t>
  </si>
  <si>
    <t>21:07</t>
  </si>
  <si>
    <t>21:16</t>
  </si>
  <si>
    <t>19:17</t>
  </si>
  <si>
    <t>19:53</t>
  </si>
  <si>
    <t>19:59</t>
  </si>
  <si>
    <t>Number of weeks in a year</t>
  </si>
  <si>
    <t>Fuel Consumed per stretch (in litres)</t>
  </si>
  <si>
    <t>Distance per Stretch (km)</t>
  </si>
  <si>
    <t xml:space="preserve">Number of Vehicles per strectch </t>
  </si>
  <si>
    <t>SOA - YAOUNDE</t>
  </si>
  <si>
    <t xml:space="preserve">Tuesday </t>
  </si>
  <si>
    <t xml:space="preserve">Saturday </t>
  </si>
  <si>
    <t>MFOU - YAOUNDE</t>
  </si>
  <si>
    <t>Mbankomo - Yde</t>
  </si>
  <si>
    <t xml:space="preserve">Daily time coverage per stretch (in mins) </t>
  </si>
  <si>
    <t xml:space="preserve">Daily time coverage per stretch 
(in mins) </t>
  </si>
  <si>
    <t>Free flow time (to)</t>
  </si>
  <si>
    <t>index</t>
  </si>
  <si>
    <t>Mean delay (mins)</t>
  </si>
  <si>
    <t>Free Flow time</t>
  </si>
  <si>
    <t xml:space="preserve">Free flow time </t>
  </si>
  <si>
    <t>Delay (=congestion Penalty)</t>
  </si>
  <si>
    <t>Trips missed because of congestion</t>
  </si>
  <si>
    <t>Duration of slot (mins)</t>
  </si>
  <si>
    <t>Weekday mean time (t)</t>
  </si>
  <si>
    <t>Free-flow time (t)</t>
  </si>
  <si>
    <t>Free flow capacity (trips)</t>
  </si>
  <si>
    <t>Weekday traffic penalty (trips)</t>
  </si>
  <si>
    <t>Trips "missed"</t>
  </si>
  <si>
    <t>Extra fuel consumed caused by congestion (litres)</t>
  </si>
  <si>
    <t>Extra fuel consumed caused by congestion</t>
  </si>
  <si>
    <t>Daily Emissions - Tier 1</t>
  </si>
  <si>
    <t>Daily Emissions - Tier 1
(in kg CO2)</t>
  </si>
  <si>
    <t>Daily Emissions - Tier 2</t>
  </si>
  <si>
    <t>Daily Emissions - Tier 2
(in kg CO2)</t>
  </si>
  <si>
    <t>Annual Emissions - Tier 1
(kg CO2)</t>
  </si>
  <si>
    <t>Annual Emissions - Tier 2
(kg CO2)</t>
  </si>
  <si>
    <t>Town</t>
  </si>
  <si>
    <t xml:space="preserve"> </t>
  </si>
  <si>
    <t>Extra caused by congestion</t>
  </si>
  <si>
    <t>Daily Extra Emissions from traffic Congestion
(in kg CO2)</t>
  </si>
  <si>
    <t>Mbankomo - YAOUNDE</t>
  </si>
  <si>
    <t>Annual Emissions - Tier 1 + Delay 
(kg CO2)"</t>
  </si>
  <si>
    <t>Vehicles (avg Mon - Fri)</t>
  </si>
  <si>
    <t>Scenario</t>
  </si>
  <si>
    <t>Private cars</t>
  </si>
  <si>
    <t>Taxis</t>
  </si>
  <si>
    <t>Minibuses</t>
  </si>
  <si>
    <t>Occupancy</t>
  </si>
  <si>
    <t>VOT (CFA/h)</t>
  </si>
  <si>
    <t>Person-hr lost</t>
  </si>
  <si>
    <t>CFA lost/week)</t>
  </si>
  <si>
    <t>CFA lost/year)</t>
  </si>
  <si>
    <t>Economic loss for occupants</t>
  </si>
  <si>
    <t>Vehicle type</t>
  </si>
  <si>
    <t>Fare/pers (CFA)</t>
  </si>
  <si>
    <t>Load</t>
  </si>
  <si>
    <t>Revenue/trip (net)</t>
  </si>
  <si>
    <t>CFA Lost/day</t>
  </si>
  <si>
    <t>Variable operating saved when trip is missed</t>
  </si>
  <si>
    <t>CFA Lost/year</t>
  </si>
  <si>
    <t>Economic loss for operators</t>
  </si>
  <si>
    <t>Clando-taxi</t>
  </si>
  <si>
    <t>Daily Trips missed</t>
  </si>
  <si>
    <t>Engine emission factor
(kgCO2/km)</t>
  </si>
  <si>
    <t>Soa - Yaounde</t>
  </si>
  <si>
    <t>Time Slot</t>
  </si>
  <si>
    <t>Annual Emissions - Tier 1 + Delay 
(kg CO2)</t>
  </si>
  <si>
    <t>Annual Emissions Tier 1
(kg CO2)</t>
  </si>
  <si>
    <t>Annual Emissions Tier 2
(kg CO2)</t>
  </si>
  <si>
    <t>Mfou - Yaounde</t>
  </si>
  <si>
    <t>Mbankomo - Yaounde</t>
  </si>
  <si>
    <t>Soa - Yaounde (T1)</t>
  </si>
  <si>
    <t>Soa - Yaounde (T2)</t>
  </si>
  <si>
    <t>Congestion penalty</t>
  </si>
  <si>
    <t>Vehicles (avg weekend)</t>
  </si>
  <si>
    <t>Clando</t>
  </si>
  <si>
    <t>Mini-bus</t>
  </si>
  <si>
    <t>clando</t>
  </si>
  <si>
    <t>Weekday traffic</t>
  </si>
  <si>
    <t>Week day mean t (Mon -Fri)</t>
  </si>
  <si>
    <t>Weekday</t>
  </si>
  <si>
    <t>Weekend</t>
  </si>
  <si>
    <t>Monthly</t>
  </si>
  <si>
    <t>Annual</t>
  </si>
  <si>
    <t xml:space="preserve">Weekday </t>
  </si>
  <si>
    <t>Road network length (km)</t>
  </si>
  <si>
    <t>Population</t>
  </si>
  <si>
    <t>Satellite Town</t>
  </si>
  <si>
    <t>Population density 
(Pop/km2)</t>
  </si>
  <si>
    <t>Road network density
(km/km2)</t>
  </si>
  <si>
    <t>Surface Area
(km2)</t>
  </si>
  <si>
    <t>Satellite town population density estimation</t>
  </si>
  <si>
    <t>Traffic Volume analysis, Miss trip analysis, Tailpipe Emissions analysis</t>
  </si>
  <si>
    <t>Tier 2 POI Emission estimation across the satellite corridors</t>
  </si>
  <si>
    <t>Supporting Information</t>
  </si>
  <si>
    <t>Functional Centralization, Congestion, and Tailpipe Emissions: Evidence from Yaoundé, Cameroon</t>
  </si>
  <si>
    <t>Attached you may find the numerical results from the traffic volume analysis, tailpipe emissions estimations (tier 1 and 2), congestion penalties, missed trips and economic impact on driver and passenger</t>
  </si>
  <si>
    <r>
      <t xml:space="preserve">Anehmbom Ghoutum </t>
    </r>
    <r>
      <rPr>
        <vertAlign val="superscript"/>
        <sz val="11"/>
        <color theme="1"/>
        <rFont val="Aptos"/>
        <family val="2"/>
      </rPr>
      <t>1,2,</t>
    </r>
    <r>
      <rPr>
        <sz val="11"/>
        <color theme="1"/>
        <rFont val="Aptos"/>
        <family val="2"/>
      </rPr>
      <t xml:space="preserve"> Nkweauseh Reginald Longfor</t>
    </r>
    <r>
      <rPr>
        <vertAlign val="superscript"/>
        <sz val="11"/>
        <color theme="1"/>
        <rFont val="Aptos"/>
        <family val="2"/>
      </rPr>
      <t>2*</t>
    </r>
    <r>
      <rPr>
        <sz val="11"/>
        <color theme="1"/>
        <rFont val="Aptos"/>
        <family val="2"/>
      </rPr>
      <t>, Aloysious Kohtem Lebga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>, John Joseph Puthenkalam</t>
    </r>
    <r>
      <rPr>
        <vertAlign val="superscript"/>
        <sz val="11"/>
        <color theme="1"/>
        <rFont val="Aptos"/>
        <family val="2"/>
      </rPr>
      <t>2</t>
    </r>
    <r>
      <rPr>
        <sz val="11"/>
        <color theme="1"/>
        <rFont val="Aptos"/>
        <family val="2"/>
      </rPr>
      <t>, Xuepeng Qian</t>
    </r>
    <r>
      <rPr>
        <vertAlign val="superscript"/>
        <sz val="11"/>
        <color theme="1"/>
        <rFont val="Aptos"/>
        <family val="2"/>
      </rPr>
      <t>2</t>
    </r>
  </si>
  <si>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 xml:space="preserve"> National Institute of Cartography, Yaoundé, Cameroon</t>
    </r>
  </si>
  <si>
    <r>
      <rPr>
        <vertAlign val="superscript"/>
        <sz val="11"/>
        <color theme="1"/>
        <rFont val="Aptos"/>
        <family val="2"/>
      </rPr>
      <t xml:space="preserve">2 </t>
    </r>
    <r>
      <rPr>
        <sz val="11"/>
        <color theme="1"/>
        <rFont val="Aptos"/>
        <family val="2"/>
      </rPr>
      <t>Graduate School of Global Environmental Studies, Sophia University, Tokyo, Japan</t>
    </r>
  </si>
  <si>
    <t>* Corresponding author: NKWEAUSEH REGINALD LONGFOR. Email: n-longfor-3r2@sophia.ac.jp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</si>
</sst>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0.000_ "/>
    <numFmt numFmtId="169" formatCode="_(* #,##0.00_);_(* \(#,##0.00\);_(* &quot;-&quot;_);_(@_)"/>
    <numFmt numFmtId="170" formatCode="_(* #,##0_);_(* \(#,##0\);_(* &quot;-&quot;??_);_(@_)"/>
  </numFmts>
  <fonts count="53" x14ac:knownFonts="1">
    <font>
      <sz val="11"/>
      <color theme="1"/>
      <name val="Calibri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rgb="FF000000"/>
      <name val="Aptos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rgb="FF000000"/>
      <name val="Open Sans"/>
    </font>
    <font>
      <sz val="12"/>
      <color theme="5"/>
      <name val="Aptos"/>
    </font>
    <font>
      <sz val="12"/>
      <color rgb="FFFF0000"/>
      <name val="Aptos"/>
    </font>
    <font>
      <b/>
      <sz val="12"/>
      <color theme="5"/>
      <name val="Aptos"/>
    </font>
    <font>
      <sz val="11"/>
      <color theme="1"/>
      <name val="Aptos"/>
    </font>
    <font>
      <b/>
      <sz val="14"/>
      <color theme="8"/>
      <name val="Aptos"/>
    </font>
    <font>
      <b/>
      <sz val="11"/>
      <color theme="1"/>
      <name val="Aptos"/>
    </font>
    <font>
      <i/>
      <sz val="11"/>
      <color theme="1"/>
      <name val="Aptos"/>
    </font>
    <font>
      <b/>
      <sz val="14"/>
      <color theme="1"/>
      <name val="Aptos"/>
    </font>
    <font>
      <sz val="14"/>
      <color rgb="FF002060"/>
      <name val="Aptos"/>
    </font>
    <font>
      <b/>
      <sz val="12"/>
      <color rgb="FF000000"/>
      <name val="Aptos"/>
    </font>
    <font>
      <sz val="16"/>
      <color rgb="FF002060"/>
      <name val="Aptos"/>
    </font>
    <font>
      <sz val="13"/>
      <color theme="1"/>
      <name val="Aptos"/>
    </font>
    <font>
      <b/>
      <sz val="13"/>
      <color theme="1"/>
      <name val="Aptos"/>
    </font>
    <font>
      <sz val="11"/>
      <color theme="1"/>
      <name val="Calibri"/>
      <family val="2"/>
    </font>
    <font>
      <sz val="18"/>
      <color rgb="FF002060"/>
      <name val="Aptos"/>
    </font>
    <font>
      <sz val="22"/>
      <color rgb="FF002060"/>
      <name val="Aptos"/>
    </font>
    <font>
      <b/>
      <sz val="11"/>
      <color theme="1"/>
      <name val="Calibri"/>
      <family val="2"/>
    </font>
    <font>
      <b/>
      <sz val="11"/>
      <color rgb="FF4472C4"/>
      <name val="Calibri"/>
      <family val="2"/>
    </font>
    <font>
      <b/>
      <sz val="11"/>
      <color rgb="FF1E4E79"/>
      <name val="Calibri"/>
      <family val="2"/>
    </font>
    <font>
      <b/>
      <sz val="11"/>
      <color theme="8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pto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ptos"/>
      <family val="2"/>
    </font>
    <font>
      <sz val="13"/>
      <color rgb="FF002060"/>
      <name val="Aptos"/>
      <family val="2"/>
    </font>
    <font>
      <sz val="13"/>
      <color theme="1"/>
      <name val="Aptos"/>
      <family val="2"/>
    </font>
    <font>
      <sz val="11"/>
      <color theme="1"/>
      <name val="Calibri"/>
      <scheme val="minor"/>
    </font>
    <font>
      <b/>
      <sz val="11"/>
      <color theme="1"/>
      <name val="Aptos Display"/>
      <family val="2"/>
    </font>
    <font>
      <b/>
      <sz val="11.5"/>
      <color theme="1"/>
      <name val="Aptos Display"/>
      <family val="2"/>
    </font>
    <font>
      <sz val="11"/>
      <color theme="1"/>
      <name val="Aptos Display"/>
      <family val="2"/>
    </font>
    <font>
      <sz val="11"/>
      <color rgb="FF000000"/>
      <name val="Aptos Display"/>
      <family val="2"/>
    </font>
    <font>
      <b/>
      <sz val="11"/>
      <color theme="4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.5"/>
      <color theme="1"/>
      <name val="Aptos"/>
      <family val="2"/>
    </font>
    <font>
      <sz val="14"/>
      <color rgb="FF002060"/>
      <name val="Aptos"/>
      <family val="2"/>
    </font>
    <font>
      <b/>
      <sz val="11"/>
      <color theme="4"/>
      <name val="Aptos"/>
      <family val="2"/>
    </font>
    <font>
      <i/>
      <sz val="9"/>
      <color theme="1"/>
      <name val="Aptos"/>
      <family val="2"/>
    </font>
    <font>
      <b/>
      <sz val="14"/>
      <color theme="1"/>
      <name val="Aptos"/>
      <family val="2"/>
    </font>
    <font>
      <vertAlign val="superscript"/>
      <sz val="11"/>
      <color theme="1"/>
      <name val="Aptos"/>
      <family val="2"/>
    </font>
    <font>
      <sz val="10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7" fillId="0" borderId="0" applyFont="0" applyFill="0" applyBorder="0" applyAlignment="0" applyProtection="0"/>
  </cellStyleXfs>
  <cellXfs count="2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3" xfId="0" applyFont="1" applyBorder="1"/>
    <xf numFmtId="14" fontId="1" fillId="0" borderId="3" xfId="0" applyNumberFormat="1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4" fillId="0" borderId="0" xfId="0" applyFont="1"/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6" xfId="0" applyFont="1" applyBorder="1"/>
    <xf numFmtId="14" fontId="7" fillId="0" borderId="6" xfId="0" applyNumberFormat="1" applyFont="1" applyBorder="1" applyAlignment="1">
      <alignment horizontal="left"/>
    </xf>
    <xf numFmtId="0" fontId="1" fillId="0" borderId="6" xfId="0" applyFont="1" applyBorder="1"/>
    <xf numFmtId="0" fontId="2" fillId="0" borderId="3" xfId="0" applyFont="1" applyBorder="1"/>
    <xf numFmtId="0" fontId="3" fillId="0" borderId="0" xfId="0" applyFont="1"/>
    <xf numFmtId="0" fontId="8" fillId="0" borderId="0" xfId="0" applyFont="1"/>
    <xf numFmtId="0" fontId="7" fillId="0" borderId="6" xfId="0" applyFont="1" applyBorder="1" applyAlignment="1">
      <alignment horizontal="center" vertical="center"/>
    </xf>
    <xf numFmtId="0" fontId="9" fillId="0" borderId="6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4" fillId="0" borderId="8" xfId="0" applyFont="1" applyBorder="1"/>
    <xf numFmtId="0" fontId="14" fillId="0" borderId="9" xfId="0" applyFont="1" applyBorder="1"/>
    <xf numFmtId="0" fontId="14" fillId="0" borderId="7" xfId="0" applyFont="1" applyBorder="1"/>
    <xf numFmtId="0" fontId="2" fillId="0" borderId="9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8" fillId="0" borderId="10" xfId="0" applyFont="1" applyBorder="1"/>
    <xf numFmtId="2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1" fontId="18" fillId="0" borderId="10" xfId="0" applyNumberFormat="1" applyFont="1" applyBorder="1"/>
    <xf numFmtId="166" fontId="18" fillId="0" borderId="10" xfId="0" applyNumberFormat="1" applyFont="1" applyBorder="1" applyAlignment="1">
      <alignment horizontal="center"/>
    </xf>
    <xf numFmtId="2" fontId="18" fillId="0" borderId="10" xfId="0" applyNumberFormat="1" applyFont="1" applyBorder="1"/>
    <xf numFmtId="1" fontId="18" fillId="0" borderId="13" xfId="0" applyNumberFormat="1" applyFont="1" applyBorder="1"/>
    <xf numFmtId="166" fontId="18" fillId="0" borderId="10" xfId="0" applyNumberFormat="1" applyFont="1" applyBorder="1"/>
    <xf numFmtId="20" fontId="2" fillId="0" borderId="0" xfId="0" applyNumberFormat="1" applyFont="1"/>
    <xf numFmtId="0" fontId="1" fillId="0" borderId="0" xfId="0" applyFont="1" applyAlignment="1">
      <alignment horizontal="center"/>
    </xf>
    <xf numFmtId="0" fontId="19" fillId="0" borderId="10" xfId="0" applyFont="1" applyBorder="1"/>
    <xf numFmtId="166" fontId="19" fillId="0" borderId="10" xfId="0" applyNumberFormat="1" applyFont="1" applyBorder="1"/>
    <xf numFmtId="167" fontId="20" fillId="0" borderId="14" xfId="0" applyNumberFormat="1" applyFont="1" applyBorder="1"/>
    <xf numFmtId="167" fontId="18" fillId="0" borderId="10" xfId="0" applyNumberFormat="1" applyFont="1" applyBorder="1"/>
    <xf numFmtId="49" fontId="18" fillId="0" borderId="10" xfId="0" applyNumberFormat="1" applyFont="1" applyBorder="1"/>
    <xf numFmtId="1" fontId="20" fillId="0" borderId="14" xfId="0" applyNumberFormat="1" applyFont="1" applyBorder="1"/>
    <xf numFmtId="1" fontId="10" fillId="0" borderId="0" xfId="0" applyNumberFormat="1" applyFont="1"/>
    <xf numFmtId="1" fontId="18" fillId="0" borderId="14" xfId="0" applyNumberFormat="1" applyFont="1" applyBorder="1" applyAlignment="1">
      <alignment vertical="center"/>
    </xf>
    <xf numFmtId="0" fontId="19" fillId="0" borderId="0" xfId="0" applyFont="1"/>
    <xf numFmtId="2" fontId="18" fillId="0" borderId="0" xfId="0" applyNumberFormat="1" applyFont="1"/>
    <xf numFmtId="2" fontId="18" fillId="0" borderId="0" xfId="0" applyNumberFormat="1" applyFont="1" applyAlignment="1">
      <alignment horizontal="center"/>
    </xf>
    <xf numFmtId="49" fontId="18" fillId="0" borderId="0" xfId="0" applyNumberFormat="1" applyFont="1"/>
    <xf numFmtId="1" fontId="19" fillId="0" borderId="0" xfId="0" applyNumberFormat="1" applyFont="1"/>
    <xf numFmtId="1" fontId="18" fillId="0" borderId="0" xfId="0" applyNumberFormat="1" applyFont="1"/>
    <xf numFmtId="167" fontId="19" fillId="0" borderId="0" xfId="0" applyNumberFormat="1" applyFont="1"/>
    <xf numFmtId="0" fontId="10" fillId="0" borderId="9" xfId="0" applyFont="1" applyBorder="1"/>
    <xf numFmtId="0" fontId="2" fillId="0" borderId="10" xfId="0" applyFont="1" applyBorder="1"/>
    <xf numFmtId="0" fontId="15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2" fillId="4" borderId="15" xfId="0" applyFont="1" applyFill="1" applyBorder="1"/>
    <xf numFmtId="20" fontId="2" fillId="4" borderId="15" xfId="0" applyNumberFormat="1" applyFont="1" applyFill="1" applyBorder="1"/>
    <xf numFmtId="1" fontId="19" fillId="0" borderId="10" xfId="0" applyNumberFormat="1" applyFont="1" applyBorder="1"/>
    <xf numFmtId="2" fontId="19" fillId="0" borderId="10" xfId="0" applyNumberFormat="1" applyFont="1" applyBorder="1" applyAlignment="1">
      <alignment horizontal="center"/>
    </xf>
    <xf numFmtId="164" fontId="18" fillId="0" borderId="14" xfId="0" applyNumberFormat="1" applyFont="1" applyBorder="1" applyAlignment="1">
      <alignment vertical="center"/>
    </xf>
    <xf numFmtId="0" fontId="14" fillId="0" borderId="16" xfId="0" applyFont="1" applyBorder="1"/>
    <xf numFmtId="0" fontId="10" fillId="0" borderId="7" xfId="0" applyFont="1" applyBorder="1"/>
    <xf numFmtId="164" fontId="10" fillId="0" borderId="10" xfId="0" applyNumberFormat="1" applyFont="1" applyBorder="1"/>
    <xf numFmtId="164" fontId="10" fillId="0" borderId="0" xfId="0" applyNumberFormat="1" applyFont="1"/>
    <xf numFmtId="0" fontId="21" fillId="2" borderId="10" xfId="0" applyFont="1" applyFill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 wrapText="1"/>
    </xf>
    <xf numFmtId="0" fontId="2" fillId="4" borderId="15" xfId="0" applyFont="1" applyFill="1" applyBorder="1" applyAlignment="1">
      <alignment horizontal="center"/>
    </xf>
    <xf numFmtId="20" fontId="2" fillId="4" borderId="15" xfId="0" applyNumberFormat="1" applyFont="1" applyFill="1" applyBorder="1" applyAlignment="1">
      <alignment horizontal="center"/>
    </xf>
    <xf numFmtId="0" fontId="18" fillId="0" borderId="0" xfId="0" applyFont="1"/>
    <xf numFmtId="164" fontId="18" fillId="0" borderId="10" xfId="0" applyNumberFormat="1" applyFont="1" applyBorder="1"/>
    <xf numFmtId="167" fontId="18" fillId="0" borderId="0" xfId="0" applyNumberFormat="1" applyFont="1"/>
    <xf numFmtId="1" fontId="18" fillId="5" borderId="10" xfId="0" applyNumberFormat="1" applyFont="1" applyFill="1" applyBorder="1"/>
    <xf numFmtId="1" fontId="19" fillId="5" borderId="10" xfId="0" applyNumberFormat="1" applyFont="1" applyFill="1" applyBorder="1"/>
    <xf numFmtId="2" fontId="10" fillId="0" borderId="0" xfId="0" applyNumberFormat="1" applyFont="1"/>
    <xf numFmtId="0" fontId="10" fillId="0" borderId="0" xfId="0" applyFont="1" applyAlignment="1">
      <alignment horizontal="left"/>
    </xf>
    <xf numFmtId="168" fontId="10" fillId="0" borderId="0" xfId="0" applyNumberFormat="1" applyFont="1"/>
    <xf numFmtId="0" fontId="10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21" fillId="2" borderId="10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20" fontId="2" fillId="4" borderId="15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 textRotation="90" wrapText="1"/>
    </xf>
    <xf numFmtId="0" fontId="1" fillId="0" borderId="10" xfId="0" applyFont="1" applyBorder="1"/>
    <xf numFmtId="2" fontId="1" fillId="0" borderId="10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1" fontId="1" fillId="0" borderId="10" xfId="0" applyNumberFormat="1" applyFont="1" applyBorder="1"/>
    <xf numFmtId="2" fontId="1" fillId="0" borderId="10" xfId="0" applyNumberFormat="1" applyFont="1" applyBorder="1"/>
    <xf numFmtId="167" fontId="1" fillId="0" borderId="10" xfId="0" applyNumberFormat="1" applyFont="1" applyBorder="1"/>
    <xf numFmtId="1" fontId="2" fillId="0" borderId="10" xfId="0" applyNumberFormat="1" applyFont="1" applyBorder="1"/>
    <xf numFmtId="49" fontId="1" fillId="0" borderId="10" xfId="0" applyNumberFormat="1" applyFont="1" applyBorder="1"/>
    <xf numFmtId="167" fontId="2" fillId="0" borderId="10" xfId="0" applyNumberFormat="1" applyFont="1" applyBorder="1"/>
    <xf numFmtId="0" fontId="14" fillId="0" borderId="1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2" fontId="2" fillId="0" borderId="10" xfId="0" applyNumberFormat="1" applyFont="1" applyBorder="1" applyAlignment="1">
      <alignment horizontal="center"/>
    </xf>
    <xf numFmtId="0" fontId="22" fillId="2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 wrapText="1"/>
    </xf>
    <xf numFmtId="167" fontId="19" fillId="0" borderId="10" xfId="0" applyNumberFormat="1" applyFont="1" applyBorder="1"/>
    <xf numFmtId="0" fontId="20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2" fontId="20" fillId="0" borderId="0" xfId="0" applyNumberFormat="1" applyFont="1"/>
    <xf numFmtId="166" fontId="10" fillId="0" borderId="0" xfId="0" applyNumberFormat="1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1" fontId="20" fillId="0" borderId="0" xfId="0" applyNumberFormat="1" applyFont="1"/>
    <xf numFmtId="0" fontId="27" fillId="0" borderId="0" xfId="0" applyFont="1"/>
    <xf numFmtId="166" fontId="20" fillId="0" borderId="0" xfId="0" applyNumberFormat="1" applyFont="1"/>
    <xf numFmtId="0" fontId="12" fillId="0" borderId="0" xfId="0" applyFont="1" applyAlignment="1">
      <alignment horizontal="left" vertical="center"/>
    </xf>
    <xf numFmtId="1" fontId="20" fillId="6" borderId="1" xfId="0" applyNumberFormat="1" applyFont="1" applyFill="1" applyBorder="1"/>
    <xf numFmtId="0" fontId="28" fillId="0" borderId="0" xfId="0" applyFont="1" applyAlignment="1">
      <alignment horizontal="left" vertical="center"/>
    </xf>
    <xf numFmtId="1" fontId="29" fillId="0" borderId="0" xfId="0" applyNumberFormat="1" applyFont="1"/>
    <xf numFmtId="1" fontId="23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/>
    </xf>
    <xf numFmtId="1" fontId="30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2" fontId="29" fillId="0" borderId="0" xfId="0" applyNumberFormat="1" applyFont="1"/>
    <xf numFmtId="0" fontId="23" fillId="0" borderId="0" xfId="0" applyFont="1" applyAlignment="1">
      <alignment horizontal="center"/>
    </xf>
    <xf numFmtId="164" fontId="20" fillId="0" borderId="0" xfId="0" applyNumberFormat="1" applyFont="1"/>
    <xf numFmtId="166" fontId="20" fillId="0" borderId="0" xfId="0" applyNumberFormat="1" applyFont="1" applyAlignment="1">
      <alignment horizontal="left"/>
    </xf>
    <xf numFmtId="169" fontId="20" fillId="0" borderId="0" xfId="0" applyNumberFormat="1" applyFont="1"/>
    <xf numFmtId="167" fontId="20" fillId="0" borderId="0" xfId="0" applyNumberFormat="1" applyFont="1"/>
    <xf numFmtId="2" fontId="23" fillId="0" borderId="0" xfId="0" applyNumberFormat="1" applyFont="1"/>
    <xf numFmtId="169" fontId="23" fillId="0" borderId="0" xfId="0" applyNumberFormat="1" applyFont="1"/>
    <xf numFmtId="165" fontId="20" fillId="0" borderId="0" xfId="0" applyNumberFormat="1" applyFont="1"/>
    <xf numFmtId="0" fontId="31" fillId="0" borderId="0" xfId="0" applyFont="1"/>
    <xf numFmtId="2" fontId="32" fillId="0" borderId="1" xfId="0" applyNumberFormat="1" applyFont="1" applyBorder="1"/>
    <xf numFmtId="165" fontId="0" fillId="0" borderId="0" xfId="0" applyNumberFormat="1"/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5" fillId="0" borderId="20" xfId="0" applyFont="1" applyBorder="1"/>
    <xf numFmtId="0" fontId="31" fillId="0" borderId="0" xfId="0" applyFont="1" applyAlignment="1">
      <alignment horizontal="center"/>
    </xf>
    <xf numFmtId="1" fontId="0" fillId="0" borderId="0" xfId="0" applyNumberFormat="1"/>
    <xf numFmtId="164" fontId="0" fillId="0" borderId="0" xfId="1" applyFont="1"/>
    <xf numFmtId="9" fontId="20" fillId="0" borderId="0" xfId="2" applyFont="1" applyAlignment="1">
      <alignment vertical="center"/>
    </xf>
    <xf numFmtId="170" fontId="0" fillId="0" borderId="0" xfId="0" applyNumberFormat="1" applyAlignment="1">
      <alignment horizontal="left"/>
    </xf>
    <xf numFmtId="0" fontId="27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left" indent="1"/>
    </xf>
    <xf numFmtId="165" fontId="0" fillId="0" borderId="0" xfId="0" applyNumberFormat="1" applyAlignment="1">
      <alignment horizontal="left" indent="1"/>
    </xf>
    <xf numFmtId="1" fontId="20" fillId="7" borderId="0" xfId="0" applyNumberFormat="1" applyFont="1" applyFill="1"/>
    <xf numFmtId="0" fontId="20" fillId="7" borderId="0" xfId="0" applyFont="1" applyFill="1"/>
    <xf numFmtId="0" fontId="34" fillId="8" borderId="22" xfId="0" applyFont="1" applyFill="1" applyBorder="1" applyAlignment="1">
      <alignment horizontal="center" vertical="center"/>
    </xf>
    <xf numFmtId="0" fontId="34" fillId="8" borderId="21" xfId="0" applyFont="1" applyFill="1" applyBorder="1" applyAlignment="1">
      <alignment horizontal="center" vertical="center"/>
    </xf>
    <xf numFmtId="0" fontId="36" fillId="0" borderId="10" xfId="0" applyFont="1" applyBorder="1"/>
    <xf numFmtId="0" fontId="34" fillId="0" borderId="10" xfId="0" applyFont="1" applyBorder="1"/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1" fillId="0" borderId="3" xfId="0" applyFont="1" applyBorder="1" applyAlignment="1">
      <alignment horizontal="center" vertical="center"/>
    </xf>
    <xf numFmtId="0" fontId="0" fillId="0" borderId="0" xfId="0"/>
    <xf numFmtId="0" fontId="5" fillId="0" borderId="6" xfId="0" applyFont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0" fontId="5" fillId="0" borderId="13" xfId="0" applyFont="1" applyBorder="1"/>
    <xf numFmtId="1" fontId="18" fillId="0" borderId="12" xfId="0" applyNumberFormat="1" applyFont="1" applyBorder="1" applyAlignment="1">
      <alignment horizontal="center" vertical="center"/>
    </xf>
    <xf numFmtId="167" fontId="18" fillId="0" borderId="12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5" fillId="0" borderId="7" xfId="0" applyFont="1" applyBorder="1"/>
    <xf numFmtId="0" fontId="10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14" xfId="0" applyFont="1" applyBorder="1"/>
    <xf numFmtId="2" fontId="18" fillId="0" borderId="12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5" fillId="0" borderId="19" xfId="0" applyFont="1" applyBorder="1"/>
    <xf numFmtId="0" fontId="12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/>
    <xf numFmtId="0" fontId="14" fillId="0" borderId="8" xfId="0" applyFont="1" applyBorder="1" applyAlignment="1">
      <alignment horizontal="left"/>
    </xf>
    <xf numFmtId="0" fontId="5" fillId="0" borderId="9" xfId="0" applyFont="1" applyBorder="1"/>
    <xf numFmtId="2" fontId="1" fillId="0" borderId="1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1" fillId="0" borderId="0" xfId="0" applyFont="1"/>
    <xf numFmtId="0" fontId="24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left" vertical="center" wrapText="1"/>
    </xf>
    <xf numFmtId="0" fontId="40" fillId="0" borderId="25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40" fillId="0" borderId="28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left" vertical="center" wrapText="1"/>
    </xf>
    <xf numFmtId="0" fontId="40" fillId="0" borderId="30" xfId="0" applyFont="1" applyBorder="1" applyAlignment="1">
      <alignment horizontal="center" vertical="center" wrapText="1"/>
    </xf>
    <xf numFmtId="43" fontId="41" fillId="11" borderId="25" xfId="3" applyFont="1" applyFill="1" applyBorder="1" applyAlignment="1">
      <alignment horizontal="center" vertical="center" wrapText="1"/>
    </xf>
    <xf numFmtId="43" fontId="41" fillId="11" borderId="28" xfId="3" applyFont="1" applyFill="1" applyBorder="1" applyAlignment="1">
      <alignment horizontal="center" vertical="center" wrapText="1"/>
    </xf>
    <xf numFmtId="43" fontId="41" fillId="11" borderId="30" xfId="3" applyFont="1" applyFill="1" applyBorder="1" applyAlignment="1">
      <alignment horizontal="center" vertical="center" wrapText="1"/>
    </xf>
    <xf numFmtId="43" fontId="40" fillId="0" borderId="25" xfId="3" applyFont="1" applyBorder="1" applyAlignment="1">
      <alignment horizontal="center" vertical="center" wrapText="1"/>
    </xf>
    <xf numFmtId="43" fontId="40" fillId="0" borderId="26" xfId="3" applyFont="1" applyBorder="1" applyAlignment="1">
      <alignment horizontal="center" vertical="center"/>
    </xf>
    <xf numFmtId="43" fontId="40" fillId="0" borderId="28" xfId="3" applyFont="1" applyBorder="1" applyAlignment="1">
      <alignment horizontal="center" vertical="center" wrapText="1"/>
    </xf>
    <xf numFmtId="43" fontId="40" fillId="0" borderId="30" xfId="3" applyFont="1" applyBorder="1" applyAlignment="1">
      <alignment horizontal="center" vertical="center" wrapText="1"/>
    </xf>
    <xf numFmtId="43" fontId="40" fillId="0" borderId="31" xfId="3" applyFont="1" applyBorder="1" applyAlignment="1">
      <alignment horizontal="center" vertical="center"/>
    </xf>
    <xf numFmtId="0" fontId="42" fillId="0" borderId="0" xfId="0" applyFont="1"/>
    <xf numFmtId="0" fontId="44" fillId="0" borderId="0" xfId="0" applyFont="1"/>
    <xf numFmtId="169" fontId="44" fillId="0" borderId="0" xfId="1" applyNumberFormat="1" applyFont="1"/>
    <xf numFmtId="169" fontId="43" fillId="0" borderId="0" xfId="1" applyNumberFormat="1" applyFont="1"/>
    <xf numFmtId="169" fontId="45" fillId="0" borderId="0" xfId="1" applyNumberFormat="1" applyFont="1"/>
    <xf numFmtId="169" fontId="46" fillId="0" borderId="0" xfId="1" applyNumberFormat="1" applyFont="1"/>
    <xf numFmtId="0" fontId="45" fillId="0" borderId="0" xfId="0" applyFont="1"/>
    <xf numFmtId="0" fontId="43" fillId="9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5" fillId="2" borderId="10" xfId="0" applyFont="1" applyFill="1" applyBorder="1" applyAlignment="1">
      <alignment horizontal="center" vertical="center" wrapText="1"/>
    </xf>
    <xf numFmtId="0" fontId="43" fillId="9" borderId="0" xfId="0" applyFont="1" applyFill="1" applyAlignment="1">
      <alignment horizontal="center" vertical="center" wrapText="1"/>
    </xf>
    <xf numFmtId="0" fontId="47" fillId="2" borderId="10" xfId="0" applyFont="1" applyFill="1" applyBorder="1" applyAlignment="1">
      <alignment horizontal="center" vertical="center" wrapText="1"/>
    </xf>
    <xf numFmtId="0" fontId="48" fillId="0" borderId="0" xfId="0" applyFont="1"/>
    <xf numFmtId="0" fontId="49" fillId="0" borderId="0" xfId="0" applyFont="1" applyAlignment="1">
      <alignment horizontal="right"/>
    </xf>
    <xf numFmtId="0" fontId="50" fillId="0" borderId="0" xfId="0" applyFont="1" applyAlignment="1">
      <alignment horizontal="center" vertical="center" wrapText="1"/>
    </xf>
    <xf numFmtId="49" fontId="44" fillId="0" borderId="0" xfId="0" applyNumberFormat="1" applyFont="1"/>
    <xf numFmtId="0" fontId="52" fillId="0" borderId="0" xfId="0" applyFont="1" applyAlignment="1">
      <alignment wrapText="1"/>
    </xf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Monday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Est.'!$AI$30:$AM$30</c:f>
              <c:numCache>
                <c:formatCode>0</c:formatCode>
                <c:ptCount val="5"/>
                <c:pt idx="0">
                  <c:v>42</c:v>
                </c:pt>
                <c:pt idx="1">
                  <c:v>62</c:v>
                </c:pt>
                <c:pt idx="2">
                  <c:v>36</c:v>
                </c:pt>
                <c:pt idx="3">
                  <c:v>66</c:v>
                </c:pt>
                <c:pt idx="4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4-4085-97F7-B71F30DD92A8}"/>
            </c:ext>
          </c:extLst>
        </c:ser>
        <c:ser>
          <c:idx val="1"/>
          <c:order val="1"/>
          <c:tx>
            <c:v>Tuesday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Est.'!$AI$31:$AM$31</c:f>
              <c:numCache>
                <c:formatCode>0</c:formatCode>
                <c:ptCount val="5"/>
                <c:pt idx="0">
                  <c:v>60</c:v>
                </c:pt>
                <c:pt idx="1">
                  <c:v>35</c:v>
                </c:pt>
                <c:pt idx="2">
                  <c:v>35</c:v>
                </c:pt>
                <c:pt idx="3">
                  <c:v>63</c:v>
                </c:pt>
                <c:pt idx="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4-4085-97F7-B71F30DD92A8}"/>
            </c:ext>
          </c:extLst>
        </c:ser>
        <c:ser>
          <c:idx val="2"/>
          <c:order val="2"/>
          <c:tx>
            <c:v>Wednesday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Est.'!$AI$32:$AM$32</c:f>
              <c:numCache>
                <c:formatCode>0</c:formatCode>
                <c:ptCount val="5"/>
                <c:pt idx="0">
                  <c:v>37</c:v>
                </c:pt>
                <c:pt idx="1">
                  <c:v>60</c:v>
                </c:pt>
                <c:pt idx="2">
                  <c:v>34</c:v>
                </c:pt>
                <c:pt idx="3">
                  <c:v>61</c:v>
                </c:pt>
                <c:pt idx="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4-4085-97F7-B71F30DD92A8}"/>
            </c:ext>
          </c:extLst>
        </c:ser>
        <c:ser>
          <c:idx val="3"/>
          <c:order val="3"/>
          <c:tx>
            <c:v>Thursday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Est.'!$AI$33:$AM$33</c:f>
              <c:numCache>
                <c:formatCode>0</c:formatCode>
                <c:ptCount val="5"/>
                <c:pt idx="0">
                  <c:v>36</c:v>
                </c:pt>
                <c:pt idx="1">
                  <c:v>55</c:v>
                </c:pt>
                <c:pt idx="2">
                  <c:v>31</c:v>
                </c:pt>
                <c:pt idx="3">
                  <c:v>46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14-4085-97F7-B71F30DD92A8}"/>
            </c:ext>
          </c:extLst>
        </c:ser>
        <c:ser>
          <c:idx val="4"/>
          <c:order val="4"/>
          <c:tx>
            <c:v>Friday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Est.'!$AI$34:$AM$34</c:f>
              <c:numCache>
                <c:formatCode>0</c:formatCode>
                <c:ptCount val="5"/>
                <c:pt idx="0">
                  <c:v>30</c:v>
                </c:pt>
                <c:pt idx="1">
                  <c:v>49</c:v>
                </c:pt>
                <c:pt idx="2">
                  <c:v>33</c:v>
                </c:pt>
                <c:pt idx="3">
                  <c:v>40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14-4085-97F7-B71F30DD92A8}"/>
            </c:ext>
          </c:extLst>
        </c:ser>
        <c:ser>
          <c:idx val="5"/>
          <c:order val="5"/>
          <c:tx>
            <c:v>Saturday</c:v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Est.'!$AI$35:$AM$35</c:f>
              <c:numCache>
                <c:formatCode>0</c:formatCode>
                <c:ptCount val="5"/>
                <c:pt idx="0">
                  <c:v>33</c:v>
                </c:pt>
                <c:pt idx="1">
                  <c:v>42</c:v>
                </c:pt>
                <c:pt idx="2">
                  <c:v>35</c:v>
                </c:pt>
                <c:pt idx="3">
                  <c:v>41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14-4085-97F7-B71F30DD92A8}"/>
            </c:ext>
          </c:extLst>
        </c:ser>
        <c:ser>
          <c:idx val="6"/>
          <c:order val="6"/>
          <c:tx>
            <c:v>Sunday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'Monday Est.'!$AI$29:$AM$29</c:f>
              <c:strCache>
                <c:ptCount val="5"/>
                <c:pt idx="0">
                  <c:v>6:00 - 7:00</c:v>
                </c:pt>
                <c:pt idx="1">
                  <c:v>7:00 - 10:00</c:v>
                </c:pt>
                <c:pt idx="2">
                  <c:v>10:00 - 15:00</c:v>
                </c:pt>
                <c:pt idx="3">
                  <c:v>15:00 - 19:00</c:v>
                </c:pt>
                <c:pt idx="4">
                  <c:v>19:00 - 22:00</c:v>
                </c:pt>
              </c:strCache>
            </c:strRef>
          </c:cat>
          <c:val>
            <c:numRef>
              <c:f>'Monday Est.'!$AI$36:$AM$36</c:f>
              <c:numCache>
                <c:formatCode>0</c:formatCode>
                <c:ptCount val="5"/>
                <c:pt idx="0">
                  <c:v>25</c:v>
                </c:pt>
                <c:pt idx="1">
                  <c:v>39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14-4085-97F7-B71F30DD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646659"/>
        <c:axId val="1307972456"/>
      </c:lineChart>
      <c:catAx>
        <c:axId val="2103646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7972456"/>
        <c:crosses val="autoZero"/>
        <c:auto val="1"/>
        <c:lblAlgn val="ctr"/>
        <c:lblOffset val="100"/>
        <c:noMultiLvlLbl val="1"/>
      </c:catAx>
      <c:valAx>
        <c:axId val="1307972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JP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364665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Insights'!$D$138</c:f>
              <c:strCache>
                <c:ptCount val="1"/>
                <c:pt idx="0">
                  <c:v>06:00 - 07:00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Insights'!$E$137:$M$137</c:f>
              <c:strCache>
                <c:ptCount val="9"/>
                <c:pt idx="0">
                  <c:v>Tier 1</c:v>
                </c:pt>
                <c:pt idx="1">
                  <c:v>Tier 2</c:v>
                </c:pt>
                <c:pt idx="2">
                  <c:v>Congestion penalty</c:v>
                </c:pt>
                <c:pt idx="3">
                  <c:v>Tier 1</c:v>
                </c:pt>
                <c:pt idx="4">
                  <c:v>Tier 2</c:v>
                </c:pt>
                <c:pt idx="5">
                  <c:v>Congestion penalty</c:v>
                </c:pt>
                <c:pt idx="6">
                  <c:v>Tier 1</c:v>
                </c:pt>
                <c:pt idx="7">
                  <c:v>Tier 2</c:v>
                </c:pt>
                <c:pt idx="8">
                  <c:v>Congestion penalty</c:v>
                </c:pt>
              </c:strCache>
            </c:strRef>
          </c:cat>
          <c:val>
            <c:numRef>
              <c:f>'Data Insights'!$E$138:$M$138</c:f>
              <c:numCache>
                <c:formatCode>_(* #,##0.00_);_(* \(#,##0.00\);_(* "-"??_);_(@_)</c:formatCode>
                <c:ptCount val="9"/>
                <c:pt idx="0">
                  <c:v>123.946280445</c:v>
                </c:pt>
                <c:pt idx="1">
                  <c:v>60.221677940085996</c:v>
                </c:pt>
                <c:pt idx="2">
                  <c:v>176.34363779700001</c:v>
                </c:pt>
                <c:pt idx="3">
                  <c:v>58.901130840419995</c:v>
                </c:pt>
                <c:pt idx="4">
                  <c:v>18.941955484227936</c:v>
                </c:pt>
                <c:pt idx="5">
                  <c:v>59.210179983718497</c:v>
                </c:pt>
                <c:pt idx="6">
                  <c:v>31.385854367999997</c:v>
                </c:pt>
                <c:pt idx="7">
                  <c:v>7.9458600565528004</c:v>
                </c:pt>
                <c:pt idx="8">
                  <c:v>34.607034158399998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C-A746-894C-E368F7C5AA2F}"/>
            </c:ext>
          </c:extLst>
        </c:ser>
        <c:ser>
          <c:idx val="1"/>
          <c:order val="1"/>
          <c:tx>
            <c:strRef>
              <c:f>'Data Insights'!$D$139</c:f>
              <c:strCache>
                <c:ptCount val="1"/>
                <c:pt idx="0">
                  <c:v>07:00 - 10:00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Insights'!$E$137:$M$137</c:f>
              <c:strCache>
                <c:ptCount val="9"/>
                <c:pt idx="0">
                  <c:v>Tier 1</c:v>
                </c:pt>
                <c:pt idx="1">
                  <c:v>Tier 2</c:v>
                </c:pt>
                <c:pt idx="2">
                  <c:v>Congestion penalty</c:v>
                </c:pt>
                <c:pt idx="3">
                  <c:v>Tier 1</c:v>
                </c:pt>
                <c:pt idx="4">
                  <c:v>Tier 2</c:v>
                </c:pt>
                <c:pt idx="5">
                  <c:v>Congestion penalty</c:v>
                </c:pt>
                <c:pt idx="6">
                  <c:v>Tier 1</c:v>
                </c:pt>
                <c:pt idx="7">
                  <c:v>Tier 2</c:v>
                </c:pt>
                <c:pt idx="8">
                  <c:v>Congestion penalty</c:v>
                </c:pt>
              </c:strCache>
            </c:strRef>
          </c:cat>
          <c:val>
            <c:numRef>
              <c:f>'Data Insights'!$E$139:$M$139</c:f>
              <c:numCache>
                <c:formatCode>_(* #,##0.00_);_(* \(#,##0.00\);_(* "-"??_);_(@_)</c:formatCode>
                <c:ptCount val="9"/>
                <c:pt idx="0">
                  <c:v>475.05831903000001</c:v>
                </c:pt>
                <c:pt idx="1">
                  <c:v>230.81619705464399</c:v>
                </c:pt>
                <c:pt idx="2">
                  <c:v>676.58661653769229</c:v>
                </c:pt>
                <c:pt idx="3">
                  <c:v>256.32899532404991</c:v>
                </c:pt>
                <c:pt idx="4">
                  <c:v>82.43258405173269</c:v>
                </c:pt>
                <c:pt idx="5">
                  <c:v>370.98622748779343</c:v>
                </c:pt>
                <c:pt idx="6">
                  <c:v>156.92927184000001</c:v>
                </c:pt>
                <c:pt idx="7">
                  <c:v>39.729300282764001</c:v>
                </c:pt>
                <c:pt idx="8">
                  <c:v>190.20447204659999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C-A746-894C-E368F7C5AA2F}"/>
            </c:ext>
          </c:extLst>
        </c:ser>
        <c:ser>
          <c:idx val="2"/>
          <c:order val="2"/>
          <c:tx>
            <c:strRef>
              <c:f>'Data Insights'!$D$140</c:f>
              <c:strCache>
                <c:ptCount val="1"/>
                <c:pt idx="0">
                  <c:v>10:00 - 15:00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Insights'!$E$137:$M$137</c:f>
              <c:strCache>
                <c:ptCount val="9"/>
                <c:pt idx="0">
                  <c:v>Tier 1</c:v>
                </c:pt>
                <c:pt idx="1">
                  <c:v>Tier 2</c:v>
                </c:pt>
                <c:pt idx="2">
                  <c:v>Congestion penalty</c:v>
                </c:pt>
                <c:pt idx="3">
                  <c:v>Tier 1</c:v>
                </c:pt>
                <c:pt idx="4">
                  <c:v>Tier 2</c:v>
                </c:pt>
                <c:pt idx="5">
                  <c:v>Congestion penalty</c:v>
                </c:pt>
                <c:pt idx="6">
                  <c:v>Tier 1</c:v>
                </c:pt>
                <c:pt idx="7">
                  <c:v>Tier 2</c:v>
                </c:pt>
                <c:pt idx="8">
                  <c:v>Congestion penalty</c:v>
                </c:pt>
              </c:strCache>
            </c:strRef>
          </c:cat>
          <c:val>
            <c:numRef>
              <c:f>'Data Insights'!$E$140:$M$140</c:f>
              <c:numCache>
                <c:formatCode>_(* #,##0.00_);_(* \(#,##0.00\);_(* "-"??_);_(@_)</c:formatCode>
                <c:ptCount val="9"/>
                <c:pt idx="0">
                  <c:v>829.07211000000007</c:v>
                </c:pt>
                <c:pt idx="1">
                  <c:v>330.75546132724611</c:v>
                </c:pt>
                <c:pt idx="2">
                  <c:v>938.59253573100011</c:v>
                </c:pt>
                <c:pt idx="3">
                  <c:v>299.41408177213498</c:v>
                </c:pt>
                <c:pt idx="4">
                  <c:v>96.288273711492025</c:v>
                </c:pt>
                <c:pt idx="5">
                  <c:v>310.19444306484144</c:v>
                </c:pt>
                <c:pt idx="6">
                  <c:v>143.301203496</c:v>
                </c:pt>
                <c:pt idx="7">
                  <c:v>36.279124205576608</c:v>
                </c:pt>
                <c:pt idx="8">
                  <c:v>153.09263089858064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2C-A746-894C-E368F7C5AA2F}"/>
            </c:ext>
          </c:extLst>
        </c:ser>
        <c:ser>
          <c:idx val="3"/>
          <c:order val="3"/>
          <c:tx>
            <c:strRef>
              <c:f>'Data Insights'!$D$141</c:f>
              <c:strCache>
                <c:ptCount val="1"/>
                <c:pt idx="0">
                  <c:v>15:00 - 19:00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Insights'!$E$137:$M$137</c:f>
              <c:strCache>
                <c:ptCount val="9"/>
                <c:pt idx="0">
                  <c:v>Tier 1</c:v>
                </c:pt>
                <c:pt idx="1">
                  <c:v>Tier 2</c:v>
                </c:pt>
                <c:pt idx="2">
                  <c:v>Congestion penalty</c:v>
                </c:pt>
                <c:pt idx="3">
                  <c:v>Tier 1</c:v>
                </c:pt>
                <c:pt idx="4">
                  <c:v>Tier 2</c:v>
                </c:pt>
                <c:pt idx="5">
                  <c:v>Congestion penalty</c:v>
                </c:pt>
                <c:pt idx="6">
                  <c:v>Tier 1</c:v>
                </c:pt>
                <c:pt idx="7">
                  <c:v>Tier 2</c:v>
                </c:pt>
                <c:pt idx="8">
                  <c:v>Congestion penalty</c:v>
                </c:pt>
              </c:strCache>
            </c:strRef>
          </c:cat>
          <c:val>
            <c:numRef>
              <c:f>'Data Insights'!$E$141:$M$141</c:f>
              <c:numCache>
                <c:formatCode>_(* #,##0.00_);_(* \(#,##0.00\);_(* "-"??_);_(@_)</c:formatCode>
                <c:ptCount val="9"/>
                <c:pt idx="0">
                  <c:v>440.65182646500006</c:v>
                </c:pt>
                <c:pt idx="1">
                  <c:v>214.09914264318198</c:v>
                </c:pt>
                <c:pt idx="2">
                  <c:v>687.05205755700001</c:v>
                </c:pt>
                <c:pt idx="3">
                  <c:v>273.23580139861497</c:v>
                </c:pt>
                <c:pt idx="4">
                  <c:v>87.869626829612926</c:v>
                </c:pt>
                <c:pt idx="5">
                  <c:v>384.42077554059296</c:v>
                </c:pt>
                <c:pt idx="6">
                  <c:v>94.157563104000005</c:v>
                </c:pt>
                <c:pt idx="7">
                  <c:v>23.837580169658402</c:v>
                </c:pt>
                <c:pt idx="8">
                  <c:v>160.17798308159999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2C-A746-894C-E368F7C5AA2F}"/>
            </c:ext>
          </c:extLst>
        </c:ser>
        <c:ser>
          <c:idx val="4"/>
          <c:order val="4"/>
          <c:tx>
            <c:strRef>
              <c:f>'Data Insights'!$D$142</c:f>
              <c:strCache>
                <c:ptCount val="1"/>
                <c:pt idx="0">
                  <c:v>19:00 - 22:00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'Data Insights'!$E$137:$M$137</c:f>
              <c:strCache>
                <c:ptCount val="9"/>
                <c:pt idx="0">
                  <c:v>Tier 1</c:v>
                </c:pt>
                <c:pt idx="1">
                  <c:v>Tier 2</c:v>
                </c:pt>
                <c:pt idx="2">
                  <c:v>Congestion penalty</c:v>
                </c:pt>
                <c:pt idx="3">
                  <c:v>Tier 1</c:v>
                </c:pt>
                <c:pt idx="4">
                  <c:v>Tier 2</c:v>
                </c:pt>
                <c:pt idx="5">
                  <c:v>Congestion penalty</c:v>
                </c:pt>
                <c:pt idx="6">
                  <c:v>Tier 1</c:v>
                </c:pt>
                <c:pt idx="7">
                  <c:v>Tier 2</c:v>
                </c:pt>
                <c:pt idx="8">
                  <c:v>Congestion penalty</c:v>
                </c:pt>
              </c:strCache>
            </c:strRef>
          </c:cat>
          <c:val>
            <c:numRef>
              <c:f>'Data Insights'!$E$142:$M$142</c:f>
              <c:numCache>
                <c:formatCode>_(* #,##0.00_);_(* \(#,##0.00\);_(* "-"??_);_(@_)</c:formatCode>
                <c:ptCount val="9"/>
                <c:pt idx="0">
                  <c:v>375.56966583000002</c:v>
                </c:pt>
                <c:pt idx="1">
                  <c:v>182.47772646728401</c:v>
                </c:pt>
                <c:pt idx="2">
                  <c:v>529.22882092693555</c:v>
                </c:pt>
                <c:pt idx="3">
                  <c:v>104.71312149407997</c:v>
                </c:pt>
                <c:pt idx="4">
                  <c:v>33.674587527516337</c:v>
                </c:pt>
                <c:pt idx="5">
                  <c:v>112.15493103574593</c:v>
                </c:pt>
                <c:pt idx="6">
                  <c:v>77.22572061599999</c:v>
                </c:pt>
                <c:pt idx="7">
                  <c:v>19.550997770728603</c:v>
                </c:pt>
                <c:pt idx="8">
                  <c:v>100.51732833119999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2C-A746-894C-E368F7C5A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1625349968"/>
        <c:axId val="1625351680"/>
      </c:barChart>
      <c:catAx>
        <c:axId val="16253499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625351680"/>
        <c:crossesAt val="0"/>
        <c:auto val="1"/>
        <c:lblAlgn val="ctr"/>
        <c:lblOffset val="10"/>
        <c:noMultiLvlLbl val="0"/>
      </c:catAx>
      <c:valAx>
        <c:axId val="162535168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Annual</a:t>
                </a:r>
                <a:r>
                  <a:rPr lang="en-US" b="1" baseline="0"/>
                  <a:t> Tailpipe Emissions (in tonnes CO2)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625349968"/>
        <c:crosses val="autoZero"/>
        <c:crossBetween val="between"/>
      </c:valAx>
      <c:spPr>
        <a:noFill/>
        <a:ln cap="flat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24</xdr:row>
      <xdr:rowOff>209550</xdr:rowOff>
    </xdr:from>
    <xdr:ext cx="8362950" cy="4505325"/>
    <xdr:graphicFrame macro="">
      <xdr:nvGraphicFramePr>
        <xdr:cNvPr id="901102273" name="Chart 1">
          <a:extLst>
            <a:ext uri="{FF2B5EF4-FFF2-40B4-BE49-F238E27FC236}">
              <a16:creationId xmlns:a16="http://schemas.microsoft.com/office/drawing/2014/main" id="{00000000-0008-0000-0100-0000C1BAB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808181</xdr:colOff>
      <xdr:row>147</xdr:row>
      <xdr:rowOff>110066</xdr:rowOff>
    </xdr:from>
    <xdr:to>
      <xdr:col>12</xdr:col>
      <xdr:colOff>798561</xdr:colOff>
      <xdr:row>169</xdr:row>
      <xdr:rowOff>163561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B0E44D8D-BC91-63CD-03A6-3DFAC74B0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413713</xdr:colOff>
      <xdr:row>169</xdr:row>
      <xdr:rowOff>96213</xdr:rowOff>
    </xdr:from>
    <xdr:to>
      <xdr:col>8</xdr:col>
      <xdr:colOff>981364</xdr:colOff>
      <xdr:row>170</xdr:row>
      <xdr:rowOff>144319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FCEB2CF-84D2-B915-0D82-AE8254571442}"/>
            </a:ext>
          </a:extLst>
        </xdr:cNvPr>
        <xdr:cNvSpPr txBox="1"/>
      </xdr:nvSpPr>
      <xdr:spPr>
        <a:xfrm>
          <a:off x="8072198" y="34799925"/>
          <a:ext cx="1808787" cy="240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Soa - Yaounde</a:t>
          </a:r>
        </a:p>
      </xdr:txBody>
    </xdr:sp>
    <xdr:clientData/>
  </xdr:twoCellAnchor>
  <xdr:twoCellAnchor>
    <xdr:from>
      <xdr:col>8</xdr:col>
      <xdr:colOff>1173788</xdr:colOff>
      <xdr:row>169</xdr:row>
      <xdr:rowOff>94673</xdr:rowOff>
    </xdr:from>
    <xdr:to>
      <xdr:col>10</xdr:col>
      <xdr:colOff>471441</xdr:colOff>
      <xdr:row>170</xdr:row>
      <xdr:rowOff>144319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D191F3-EB93-4D4F-9A59-DB5982FECABB}"/>
            </a:ext>
          </a:extLst>
        </xdr:cNvPr>
        <xdr:cNvSpPr txBox="1"/>
      </xdr:nvSpPr>
      <xdr:spPr>
        <a:xfrm>
          <a:off x="10073409" y="34798385"/>
          <a:ext cx="1895380" cy="242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Mfou - Yaounde</a:t>
          </a:r>
        </a:p>
      </xdr:txBody>
    </xdr:sp>
    <xdr:clientData/>
  </xdr:twoCellAnchor>
  <xdr:twoCellAnchor>
    <xdr:from>
      <xdr:col>10</xdr:col>
      <xdr:colOff>631926</xdr:colOff>
      <xdr:row>169</xdr:row>
      <xdr:rowOff>83513</xdr:rowOff>
    </xdr:from>
    <xdr:to>
      <xdr:col>11</xdr:col>
      <xdr:colOff>1154547</xdr:colOff>
      <xdr:row>170</xdr:row>
      <xdr:rowOff>125076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A42ADD-ADD4-C94F-BD47-D2BF8F78C101}"/>
            </a:ext>
          </a:extLst>
        </xdr:cNvPr>
        <xdr:cNvSpPr txBox="1"/>
      </xdr:nvSpPr>
      <xdr:spPr>
        <a:xfrm>
          <a:off x="12129274" y="34787225"/>
          <a:ext cx="1879212" cy="233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Mbankomo - Yaounde</a:t>
          </a:r>
        </a:p>
      </xdr:txBody>
    </xdr:sp>
    <xdr:clientData/>
  </xdr:twoCellAnchor>
  <xdr:twoCellAnchor>
    <xdr:from>
      <xdr:col>11</xdr:col>
      <xdr:colOff>1297325</xdr:colOff>
      <xdr:row>154</xdr:row>
      <xdr:rowOff>133158</xdr:rowOff>
    </xdr:from>
    <xdr:to>
      <xdr:col>12</xdr:col>
      <xdr:colOff>731212</xdr:colOff>
      <xdr:row>155</xdr:row>
      <xdr:rowOff>144318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64A76A8-CD2A-1E4A-A113-64EB4C7DC8E8}"/>
            </a:ext>
          </a:extLst>
        </xdr:cNvPr>
        <xdr:cNvSpPr txBox="1"/>
      </xdr:nvSpPr>
      <xdr:spPr>
        <a:xfrm>
          <a:off x="14151264" y="31950506"/>
          <a:ext cx="857827" cy="2035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Time frame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emoporto.com/images/provas/2019/RampaPenha/3-Resultados/CPM/09-%20Tempos%20Subida%20Oficial%203%20CPM.pdf" TargetMode="External"/><Relationship Id="rId13" Type="http://schemas.openxmlformats.org/officeDocument/2006/relationships/hyperlink" Target="https://www.carsales.com.au/research/toyota/yaris/2007/" TargetMode="External"/><Relationship Id="rId18" Type="http://schemas.openxmlformats.org/officeDocument/2006/relationships/hyperlink" Target="https://www.engineindetail.com/pa/toyota-avensis-liftback-1-8-style-2001" TargetMode="External"/><Relationship Id="rId3" Type="http://schemas.openxmlformats.org/officeDocument/2006/relationships/hyperlink" Target="https://www.fosterstoyota.com/blog/toyota-coaster-4-2l-diesel-1737809279010" TargetMode="External"/><Relationship Id="rId21" Type="http://schemas.openxmlformats.org/officeDocument/2006/relationships/hyperlink" Target="https://www.careka.lk/en/vehicle/toyota-corolla-ee90-1990-4" TargetMode="External"/><Relationship Id="rId7" Type="http://schemas.openxmlformats.org/officeDocument/2006/relationships/hyperlink" Target="https://www.pakwheels.com/new-cars/toyota/starlet/fuel-average/" TargetMode="External"/><Relationship Id="rId12" Type="http://schemas.openxmlformats.org/officeDocument/2006/relationships/hyperlink" Target="https://car-emissions.com/cars/view/11408" TargetMode="External"/><Relationship Id="rId17" Type="http://schemas.openxmlformats.org/officeDocument/2006/relationships/hyperlink" Target="https://choise.ravenol.com/1-cars/535-toyota/2206-avensis-t22/6166-avensis-1-8-16v-vtt-i/" TargetMode="External"/><Relationship Id="rId25" Type="http://schemas.openxmlformats.org/officeDocument/2006/relationships/hyperlink" Target="https://www.emissionsfinder.com/toyota-yaris-10-vvt-i-10cc-3" TargetMode="External"/><Relationship Id="rId2" Type="http://schemas.openxmlformats.org/officeDocument/2006/relationships/hyperlink" Target="https://www.carsales.com.au/research/toyota/hiace/2000/" TargetMode="External"/><Relationship Id="rId16" Type="http://schemas.openxmlformats.org/officeDocument/2006/relationships/hyperlink" Target="https://www.ultimatespecs.com/car-specs/Toyota/5193/Toyota-Avensis-I-16.html" TargetMode="External"/><Relationship Id="rId20" Type="http://schemas.openxmlformats.org/officeDocument/2006/relationships/hyperlink" Target="https://www.spritmonitor.de/en/detail/393752.html?cdetail=1" TargetMode="External"/><Relationship Id="rId1" Type="http://schemas.openxmlformats.org/officeDocument/2006/relationships/hyperlink" Target="https://motoreu.com/toyota-hiace-combi-2.5-d-4d-mpg-fuel-consumption-technical-specifications-174601" TargetMode="External"/><Relationship Id="rId6" Type="http://schemas.openxmlformats.org/officeDocument/2006/relationships/hyperlink" Target="https://www.spritmonitor.de/en/detail/281441.html?cdetail=1" TargetMode="External"/><Relationship Id="rId11" Type="http://schemas.openxmlformats.org/officeDocument/2006/relationships/hyperlink" Target="https://www.auto-data.net/en/toyota-avensis-hatch-t22-1.6-101hp-3610" TargetMode="External"/><Relationship Id="rId24" Type="http://schemas.openxmlformats.org/officeDocument/2006/relationships/hyperlink" Target="https://car-emissions.com/cars/view/11407" TargetMode="External"/><Relationship Id="rId5" Type="http://schemas.openxmlformats.org/officeDocument/2006/relationships/hyperlink" Target="https://www.spritmonitor.de/en/detail/390169.html?page=2" TargetMode="External"/><Relationship Id="rId15" Type="http://schemas.openxmlformats.org/officeDocument/2006/relationships/hyperlink" Target="https://www.autoevolution.com/cars/toyota-avensis-2003.html" TargetMode="External"/><Relationship Id="rId23" Type="http://schemas.openxmlformats.org/officeDocument/2006/relationships/hyperlink" Target="https://www.facebook.com/story.php/?story_fbid=367416665933900&amp;id=100079967086663&amp;_rdr" TargetMode="External"/><Relationship Id="rId10" Type="http://schemas.openxmlformats.org/officeDocument/2006/relationships/hyperlink" Target="https://podbor.ravenol.ru/1-cars/535-toyota/2206-avensis-t22/6163-avensis-1-6/" TargetMode="External"/><Relationship Id="rId19" Type="http://schemas.openxmlformats.org/officeDocument/2006/relationships/hyperlink" Target="https://www.ultimatespecs.com/car-specs/Toyota/5296/Toyota-Corolla-VIII-5-door-14-16v-VVT-i.html" TargetMode="External"/><Relationship Id="rId4" Type="http://schemas.openxmlformats.org/officeDocument/2006/relationships/hyperlink" Target="https://www.youtube.com/watch?v=Prxw5jUTpp4" TargetMode="External"/><Relationship Id="rId9" Type="http://schemas.openxmlformats.org/officeDocument/2006/relationships/hyperlink" Target="https://www.pakwheels.com/new-cars/toyota/starlet/1-3--2/" TargetMode="External"/><Relationship Id="rId14" Type="http://schemas.openxmlformats.org/officeDocument/2006/relationships/hyperlink" Target="https://cars.japanesecartrade.com/detail/toyota/vitz/b-intelligent-package/131468" TargetMode="External"/><Relationship Id="rId22" Type="http://schemas.openxmlformats.org/officeDocument/2006/relationships/hyperlink" Target="https://www.beforward.jp/toyota/corolla-sedan/bf163753/id/159049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7E7B-8566-4E55-AEBD-9A3C3BAA53CE}">
  <dimension ref="B1:B10"/>
  <sheetViews>
    <sheetView showGridLines="0" tabSelected="1" workbookViewId="0">
      <selection activeCell="B9" sqref="B9"/>
    </sheetView>
  </sheetViews>
  <sheetFormatPr defaultRowHeight="14.4" x14ac:dyDescent="0.3"/>
  <cols>
    <col min="1" max="1" width="8.88671875" style="228"/>
    <col min="2" max="2" width="107.21875" style="228" customWidth="1"/>
    <col min="3" max="16384" width="8.88671875" style="228"/>
  </cols>
  <sheetData>
    <row r="1" spans="2:2" x14ac:dyDescent="0.3">
      <c r="B1" s="240" t="s">
        <v>667</v>
      </c>
    </row>
    <row r="3" spans="2:2" ht="56.4" customHeight="1" x14ac:dyDescent="0.3">
      <c r="B3" s="241" t="s">
        <v>668</v>
      </c>
    </row>
    <row r="4" spans="2:2" ht="16.2" x14ac:dyDescent="0.3">
      <c r="B4" s="242" t="s">
        <v>670</v>
      </c>
    </row>
    <row r="5" spans="2:2" ht="16.2" x14ac:dyDescent="0.3">
      <c r="B5" s="228" t="s">
        <v>671</v>
      </c>
    </row>
    <row r="6" spans="2:2" ht="16.2" x14ac:dyDescent="0.3">
      <c r="B6" s="228" t="s">
        <v>672</v>
      </c>
    </row>
    <row r="8" spans="2:2" x14ac:dyDescent="0.3">
      <c r="B8" s="228" t="s">
        <v>673</v>
      </c>
    </row>
    <row r="10" spans="2:2" ht="27.6" x14ac:dyDescent="0.3">
      <c r="B10" s="243" t="s">
        <v>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798E-71A1-47BD-8923-547B3D58724D}">
  <dimension ref="B2:G7"/>
  <sheetViews>
    <sheetView workbookViewId="0">
      <selection activeCell="C8" sqref="C8"/>
    </sheetView>
  </sheetViews>
  <sheetFormatPr defaultRowHeight="14.4" x14ac:dyDescent="0.3"/>
  <cols>
    <col min="2" max="2" width="17.6640625" customWidth="1"/>
    <col min="3" max="3" width="20" customWidth="1"/>
    <col min="4" max="4" width="18.88671875" customWidth="1"/>
    <col min="5" max="5" width="14.109375" customWidth="1"/>
    <col min="6" max="6" width="23.21875" customWidth="1"/>
    <col min="7" max="7" width="29.77734375" customWidth="1"/>
  </cols>
  <sheetData>
    <row r="2" spans="2:7" x14ac:dyDescent="0.3">
      <c r="B2" s="150" t="s">
        <v>664</v>
      </c>
    </row>
    <row r="4" spans="2:7" ht="28.8" x14ac:dyDescent="0.3">
      <c r="B4" s="212" t="s">
        <v>660</v>
      </c>
      <c r="C4" s="212" t="s">
        <v>658</v>
      </c>
      <c r="D4" s="212" t="s">
        <v>663</v>
      </c>
      <c r="E4" s="212" t="s">
        <v>659</v>
      </c>
      <c r="F4" s="212" t="s">
        <v>662</v>
      </c>
      <c r="G4" s="212" t="s">
        <v>661</v>
      </c>
    </row>
    <row r="5" spans="2:7" ht="15" x14ac:dyDescent="0.3">
      <c r="B5" s="213" t="s">
        <v>102</v>
      </c>
      <c r="C5" s="214">
        <v>670.9</v>
      </c>
      <c r="D5" s="214">
        <v>68</v>
      </c>
      <c r="E5" s="219">
        <v>86150</v>
      </c>
      <c r="F5" s="222">
        <f>C5/D5</f>
        <v>9.8661764705882344</v>
      </c>
      <c r="G5" s="223">
        <f>E5/D5</f>
        <v>1266.9117647058824</v>
      </c>
    </row>
    <row r="6" spans="2:7" ht="15" x14ac:dyDescent="0.3">
      <c r="B6" s="215" t="s">
        <v>104</v>
      </c>
      <c r="C6" s="216">
        <v>295.10000000000002</v>
      </c>
      <c r="D6" s="216">
        <v>40.799999999999997</v>
      </c>
      <c r="E6" s="220">
        <v>49755</v>
      </c>
      <c r="F6" s="224">
        <f>C6/D6</f>
        <v>7.2328431372549034</v>
      </c>
      <c r="G6" s="223">
        <f>E6/D6</f>
        <v>1219.4852941176471</v>
      </c>
    </row>
    <row r="7" spans="2:7" ht="15" x14ac:dyDescent="0.3">
      <c r="B7" s="217" t="s">
        <v>103</v>
      </c>
      <c r="C7" s="218">
        <v>204.8</v>
      </c>
      <c r="D7" s="218">
        <v>80.2</v>
      </c>
      <c r="E7" s="221">
        <v>91045</v>
      </c>
      <c r="F7" s="225">
        <f>C7/D7</f>
        <v>2.5536159600997506</v>
      </c>
      <c r="G7" s="226">
        <f>E7/D7</f>
        <v>1135.224438902743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zoomScale="69" workbookViewId="0">
      <selection activeCell="C5" sqref="C5"/>
    </sheetView>
  </sheetViews>
  <sheetFormatPr defaultColWidth="14.44140625" defaultRowHeight="15" customHeight="1" x14ac:dyDescent="0.3"/>
  <cols>
    <col min="1" max="1" width="15" customWidth="1"/>
    <col min="2" max="2" width="18.44140625" customWidth="1"/>
    <col min="3" max="3" width="24.33203125" customWidth="1"/>
    <col min="4" max="4" width="19.44140625" customWidth="1"/>
    <col min="5" max="5" width="18" customWidth="1"/>
    <col min="6" max="6" width="16.33203125" customWidth="1"/>
    <col min="7" max="7" width="11.44140625" customWidth="1"/>
    <col min="8" max="8" width="18.44140625" customWidth="1"/>
    <col min="9" max="9" width="19.33203125" customWidth="1"/>
    <col min="10" max="10" width="17.109375" customWidth="1"/>
    <col min="11" max="11" width="26" customWidth="1"/>
    <col min="12" max="12" width="25.33203125" customWidth="1"/>
    <col min="13" max="13" width="30.33203125" customWidth="1"/>
    <col min="14" max="14" width="81.44140625" customWidth="1"/>
    <col min="15" max="15" width="39.44140625" customWidth="1"/>
    <col min="16" max="21" width="11.44140625" customWidth="1"/>
  </cols>
  <sheetData>
    <row r="1" spans="1:21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3">
      <c r="A2" s="178" t="s">
        <v>0</v>
      </c>
      <c r="B2" s="176"/>
      <c r="C2" s="1"/>
      <c r="D2" s="1"/>
      <c r="E2" s="1"/>
      <c r="F2" s="1"/>
      <c r="G2" s="1"/>
      <c r="H2" s="1"/>
      <c r="I2" s="1"/>
      <c r="J2" s="1"/>
      <c r="K2" s="2" t="s">
        <v>1</v>
      </c>
      <c r="L2" s="2" t="s">
        <v>2</v>
      </c>
      <c r="M2" s="1"/>
      <c r="N2" s="1"/>
      <c r="O2" s="1"/>
      <c r="P2" s="1"/>
      <c r="Q2" s="1"/>
      <c r="R2" s="1"/>
      <c r="S2" s="1"/>
      <c r="T2" s="1"/>
      <c r="U2" s="1"/>
    </row>
    <row r="3" spans="1:21" ht="45" customHeight="1" x14ac:dyDescent="0.3">
      <c r="A3" s="1"/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211" t="s">
        <v>10</v>
      </c>
      <c r="J3" s="211" t="s">
        <v>11</v>
      </c>
      <c r="K3" s="4" t="s">
        <v>12</v>
      </c>
      <c r="L3" s="4" t="s">
        <v>636</v>
      </c>
      <c r="M3" s="1"/>
      <c r="N3" s="5" t="s">
        <v>13</v>
      </c>
      <c r="O3" s="1"/>
      <c r="P3" s="1"/>
      <c r="Q3" s="1"/>
      <c r="R3" s="1"/>
      <c r="S3" s="1"/>
      <c r="T3" s="1"/>
      <c r="U3" s="1"/>
    </row>
    <row r="4" spans="1:21" ht="18" customHeight="1" x14ac:dyDescent="0.3">
      <c r="A4" s="172" t="s">
        <v>14</v>
      </c>
      <c r="B4" s="175" t="s">
        <v>15</v>
      </c>
      <c r="C4" s="6" t="s">
        <v>16</v>
      </c>
      <c r="D4" s="6">
        <v>2494</v>
      </c>
      <c r="E4" s="6">
        <v>10</v>
      </c>
      <c r="F4" s="6" t="s">
        <v>17</v>
      </c>
      <c r="G4" s="6" t="s">
        <v>18</v>
      </c>
      <c r="H4" s="7" t="s">
        <v>19</v>
      </c>
      <c r="I4" s="6">
        <v>10.7</v>
      </c>
      <c r="J4" s="6">
        <v>9.35</v>
      </c>
      <c r="K4" s="1">
        <v>3.18</v>
      </c>
      <c r="L4" s="8">
        <v>0.27174300000000001</v>
      </c>
      <c r="M4" s="1" t="s">
        <v>20</v>
      </c>
      <c r="N4" s="9" t="s">
        <v>21</v>
      </c>
      <c r="O4" s="1"/>
      <c r="P4" s="1"/>
      <c r="Q4" s="1"/>
      <c r="R4" s="1"/>
      <c r="S4" s="1"/>
      <c r="T4" s="1"/>
      <c r="U4" s="1"/>
    </row>
    <row r="5" spans="1:21" ht="18" customHeight="1" x14ac:dyDescent="0.3">
      <c r="A5" s="173"/>
      <c r="B5" s="176"/>
      <c r="C5" s="1" t="s">
        <v>22</v>
      </c>
      <c r="D5" s="1">
        <v>2446</v>
      </c>
      <c r="E5" s="1">
        <v>8</v>
      </c>
      <c r="F5" s="1" t="s">
        <v>17</v>
      </c>
      <c r="G5" s="1" t="s">
        <v>18</v>
      </c>
      <c r="H5" s="10" t="s">
        <v>23</v>
      </c>
      <c r="I5" s="1">
        <v>12.1</v>
      </c>
      <c r="J5" s="1">
        <v>9.8000000000000007</v>
      </c>
      <c r="K5" s="1">
        <v>3.18</v>
      </c>
      <c r="L5" s="8">
        <v>0.24523</v>
      </c>
      <c r="M5" s="1" t="s">
        <v>24</v>
      </c>
      <c r="N5" s="9" t="s">
        <v>25</v>
      </c>
      <c r="O5" s="1"/>
      <c r="P5" s="1"/>
      <c r="Q5" s="1"/>
      <c r="R5" s="1"/>
      <c r="S5" s="1"/>
      <c r="T5" s="1"/>
      <c r="U5" s="1"/>
    </row>
    <row r="6" spans="1:21" ht="18" customHeight="1" x14ac:dyDescent="0.3">
      <c r="A6" s="173"/>
      <c r="B6" s="176"/>
      <c r="C6" s="1" t="s">
        <v>26</v>
      </c>
      <c r="D6" s="1">
        <v>3661</v>
      </c>
      <c r="E6" s="1">
        <v>10</v>
      </c>
      <c r="F6" s="1" t="s">
        <v>17</v>
      </c>
      <c r="G6" s="1" t="s">
        <v>18</v>
      </c>
      <c r="H6" s="10">
        <v>43313</v>
      </c>
      <c r="I6" s="1">
        <v>12.5</v>
      </c>
      <c r="J6" s="1">
        <v>8.8000000000000007</v>
      </c>
      <c r="K6" s="1">
        <v>3.18</v>
      </c>
      <c r="L6" s="11">
        <v>0.231132</v>
      </c>
      <c r="M6" s="1" t="s">
        <v>27</v>
      </c>
      <c r="N6" s="9" t="s">
        <v>28</v>
      </c>
      <c r="O6" s="1"/>
      <c r="P6" s="1"/>
      <c r="Q6" s="1"/>
      <c r="R6" s="1"/>
      <c r="S6" s="1"/>
      <c r="T6" s="1"/>
      <c r="U6" s="1"/>
    </row>
    <row r="7" spans="1:21" ht="18" customHeight="1" x14ac:dyDescent="0.3">
      <c r="A7" s="173"/>
      <c r="B7" s="179" t="s">
        <v>29</v>
      </c>
      <c r="C7" s="12" t="s">
        <v>30</v>
      </c>
      <c r="D7" s="12">
        <v>2399</v>
      </c>
      <c r="E7" s="12">
        <v>8</v>
      </c>
      <c r="F7" s="12" t="s">
        <v>17</v>
      </c>
      <c r="G7" s="12" t="s">
        <v>18</v>
      </c>
      <c r="H7" s="13" t="s">
        <v>31</v>
      </c>
      <c r="I7" s="12">
        <v>9.9</v>
      </c>
      <c r="J7" s="12">
        <v>10</v>
      </c>
      <c r="K7" s="12">
        <v>3.18</v>
      </c>
      <c r="L7" s="8">
        <v>0.26260800000000001</v>
      </c>
      <c r="M7" s="1" t="s">
        <v>32</v>
      </c>
      <c r="N7" s="9" t="s">
        <v>33</v>
      </c>
      <c r="O7" s="1"/>
      <c r="P7" s="1"/>
      <c r="Q7" s="1"/>
      <c r="R7" s="1"/>
      <c r="S7" s="1"/>
      <c r="T7" s="1"/>
      <c r="U7" s="1"/>
    </row>
    <row r="8" spans="1:21" ht="18" customHeight="1" x14ac:dyDescent="0.3">
      <c r="A8" s="173"/>
      <c r="B8" s="176"/>
      <c r="C8" s="12" t="s">
        <v>34</v>
      </c>
      <c r="D8" s="12">
        <v>2300</v>
      </c>
      <c r="E8" s="12">
        <v>9</v>
      </c>
      <c r="F8" s="12" t="s">
        <v>17</v>
      </c>
      <c r="G8" s="12" t="s">
        <v>18</v>
      </c>
      <c r="H8" s="13">
        <v>36162</v>
      </c>
      <c r="I8" s="12">
        <v>9.81</v>
      </c>
      <c r="J8" s="12">
        <v>10.199999999999999</v>
      </c>
      <c r="K8" s="12">
        <v>3.18</v>
      </c>
      <c r="L8" s="8">
        <v>0.27174300000000001</v>
      </c>
      <c r="M8" s="1" t="s">
        <v>20</v>
      </c>
      <c r="N8" s="9" t="s">
        <v>35</v>
      </c>
      <c r="O8" s="1"/>
      <c r="P8" s="1"/>
      <c r="Q8" s="1"/>
      <c r="R8" s="1"/>
      <c r="S8" s="1"/>
      <c r="T8" s="1"/>
      <c r="U8" s="1"/>
    </row>
    <row r="9" spans="1:21" ht="18" customHeight="1" x14ac:dyDescent="0.3">
      <c r="A9" s="174"/>
      <c r="B9" s="177"/>
      <c r="C9" s="14">
        <v>207</v>
      </c>
      <c r="D9" s="15">
        <v>2399</v>
      </c>
      <c r="E9" s="15">
        <v>8</v>
      </c>
      <c r="F9" s="15" t="s">
        <v>17</v>
      </c>
      <c r="G9" s="15" t="s">
        <v>18</v>
      </c>
      <c r="H9" s="16" t="s">
        <v>36</v>
      </c>
      <c r="I9" s="15">
        <v>13.6</v>
      </c>
      <c r="J9" s="15">
        <v>7.3</v>
      </c>
      <c r="K9" s="15">
        <v>3.18</v>
      </c>
      <c r="L9" s="8">
        <v>0.26260800000000001</v>
      </c>
      <c r="M9" s="1" t="s">
        <v>32</v>
      </c>
      <c r="N9" s="9" t="s">
        <v>37</v>
      </c>
      <c r="O9" s="1"/>
      <c r="P9" s="1"/>
      <c r="Q9" s="1"/>
      <c r="R9" s="1"/>
      <c r="S9" s="1"/>
      <c r="T9" s="1"/>
      <c r="U9" s="1"/>
    </row>
    <row r="10" spans="1:21" ht="15.75" customHeight="1" x14ac:dyDescent="0.3">
      <c r="A10" s="1"/>
      <c r="B10" s="1"/>
      <c r="C10" s="1"/>
      <c r="D10" s="1"/>
      <c r="E10" s="1"/>
      <c r="F10" s="1"/>
      <c r="G10" s="1"/>
      <c r="H10" s="1" t="s">
        <v>38</v>
      </c>
      <c r="I10" s="1">
        <f t="shared" ref="I10:L10" si="0">AVERAGE(I4:I9)</f>
        <v>11.435</v>
      </c>
      <c r="J10" s="1">
        <f t="shared" si="0"/>
        <v>9.2416666666666671</v>
      </c>
      <c r="K10" s="1">
        <f t="shared" si="0"/>
        <v>3.18</v>
      </c>
      <c r="L10" s="1">
        <f t="shared" si="0"/>
        <v>0.25751066666666667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0.25" customHeight="1" x14ac:dyDescent="0.3">
      <c r="A12" s="1"/>
      <c r="B12" s="5"/>
      <c r="C12" s="1"/>
      <c r="D12" s="1"/>
      <c r="E12" s="1"/>
      <c r="F12" s="1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8" customHeight="1" x14ac:dyDescent="0.3">
      <c r="A13" s="172" t="s">
        <v>39</v>
      </c>
      <c r="B13" s="175" t="s">
        <v>15</v>
      </c>
      <c r="C13" s="18" t="s">
        <v>40</v>
      </c>
      <c r="D13" s="6">
        <v>1587</v>
      </c>
      <c r="E13" s="6">
        <v>9</v>
      </c>
      <c r="F13" s="6" t="s">
        <v>41</v>
      </c>
      <c r="G13" s="1" t="s">
        <v>18</v>
      </c>
      <c r="H13" s="6" t="s">
        <v>42</v>
      </c>
      <c r="I13" s="6"/>
      <c r="J13" s="6"/>
      <c r="K13" s="6">
        <v>3.1680000000000001</v>
      </c>
      <c r="L13" s="8">
        <v>0.17012099999999999</v>
      </c>
      <c r="M13" s="1" t="s">
        <v>43</v>
      </c>
      <c r="N13" s="1"/>
      <c r="O13" s="1"/>
      <c r="P13" s="1"/>
      <c r="Q13" s="1"/>
      <c r="R13" s="1"/>
      <c r="S13" s="1"/>
      <c r="T13" s="1"/>
      <c r="U13" s="1"/>
    </row>
    <row r="14" spans="1:21" ht="18" customHeight="1" x14ac:dyDescent="0.3">
      <c r="A14" s="173"/>
      <c r="B14" s="176"/>
      <c r="C14" s="1" t="s">
        <v>44</v>
      </c>
      <c r="D14" s="1">
        <v>1295</v>
      </c>
      <c r="E14" s="1">
        <v>7</v>
      </c>
      <c r="F14" s="1" t="s">
        <v>41</v>
      </c>
      <c r="G14" s="1" t="s">
        <v>18</v>
      </c>
      <c r="H14" s="1" t="s">
        <v>45</v>
      </c>
      <c r="I14" s="1">
        <v>15</v>
      </c>
      <c r="J14" s="1"/>
      <c r="K14" s="1">
        <v>3.1680000000000001</v>
      </c>
      <c r="L14" s="8">
        <v>0.173288</v>
      </c>
      <c r="M14" s="1" t="s">
        <v>46</v>
      </c>
      <c r="N14" s="9" t="s">
        <v>47</v>
      </c>
      <c r="O14" s="9" t="s">
        <v>48</v>
      </c>
      <c r="P14" s="9" t="s">
        <v>49</v>
      </c>
      <c r="Q14" s="1"/>
      <c r="R14" s="1"/>
      <c r="S14" s="1"/>
      <c r="T14" s="1"/>
      <c r="U14" s="1"/>
    </row>
    <row r="15" spans="1:21" ht="18" customHeight="1" x14ac:dyDescent="0.3">
      <c r="A15" s="173"/>
      <c r="B15" s="176"/>
      <c r="C15" s="1" t="s">
        <v>50</v>
      </c>
      <c r="D15" s="1">
        <v>1587</v>
      </c>
      <c r="E15" s="1">
        <v>7</v>
      </c>
      <c r="F15" s="1" t="s">
        <v>41</v>
      </c>
      <c r="G15" s="1" t="s">
        <v>18</v>
      </c>
      <c r="H15" s="1" t="s">
        <v>51</v>
      </c>
      <c r="I15" s="19">
        <v>9.6999999999999993</v>
      </c>
      <c r="J15" s="1"/>
      <c r="K15" s="1">
        <v>3.1680000000000001</v>
      </c>
      <c r="L15" s="8">
        <v>0.17486599999999999</v>
      </c>
      <c r="M15" s="1" t="s">
        <v>52</v>
      </c>
      <c r="N15" s="9" t="s">
        <v>53</v>
      </c>
      <c r="O15" s="9" t="s">
        <v>54</v>
      </c>
      <c r="P15" s="1"/>
      <c r="Q15" s="1"/>
      <c r="R15" s="1"/>
      <c r="S15" s="1"/>
      <c r="T15" s="1"/>
      <c r="U15" s="1"/>
    </row>
    <row r="16" spans="1:21" ht="18" customHeight="1" x14ac:dyDescent="0.3">
      <c r="A16" s="173"/>
      <c r="B16" s="176"/>
      <c r="C16" s="1" t="s">
        <v>55</v>
      </c>
      <c r="D16" s="1">
        <v>998</v>
      </c>
      <c r="E16" s="1">
        <v>6</v>
      </c>
      <c r="F16" s="1" t="s">
        <v>41</v>
      </c>
      <c r="G16" s="1" t="s">
        <v>18</v>
      </c>
      <c r="H16" s="1" t="s">
        <v>56</v>
      </c>
      <c r="I16" s="1">
        <v>6.4</v>
      </c>
      <c r="J16" s="1"/>
      <c r="K16" s="1">
        <v>3.1680000000000001</v>
      </c>
      <c r="L16" s="8">
        <v>0.17486599999999999</v>
      </c>
      <c r="M16" s="1" t="s">
        <v>57</v>
      </c>
      <c r="N16" s="9" t="s">
        <v>58</v>
      </c>
      <c r="O16" s="1"/>
      <c r="P16" s="1"/>
      <c r="Q16" s="1"/>
      <c r="R16" s="1"/>
      <c r="S16" s="1"/>
      <c r="T16" s="1"/>
      <c r="U16" s="1"/>
    </row>
    <row r="17" spans="1:21" ht="18" customHeight="1" x14ac:dyDescent="0.3">
      <c r="A17" s="173"/>
      <c r="B17" s="176"/>
      <c r="C17" s="1" t="s">
        <v>59</v>
      </c>
      <c r="D17" s="1">
        <v>1299</v>
      </c>
      <c r="E17" s="1">
        <v>7</v>
      </c>
      <c r="F17" s="1" t="s">
        <v>41</v>
      </c>
      <c r="G17" s="1" t="s">
        <v>18</v>
      </c>
      <c r="H17" s="1" t="s">
        <v>60</v>
      </c>
      <c r="I17" s="1">
        <v>6.7</v>
      </c>
      <c r="J17" s="1"/>
      <c r="K17" s="1">
        <v>3.1680000000000001</v>
      </c>
      <c r="L17" s="8">
        <v>0.182336</v>
      </c>
      <c r="M17" s="1" t="s">
        <v>61</v>
      </c>
      <c r="N17" s="9" t="s">
        <v>62</v>
      </c>
      <c r="O17" s="1"/>
      <c r="P17" s="1"/>
      <c r="Q17" s="1"/>
      <c r="R17" s="1"/>
      <c r="S17" s="1"/>
      <c r="T17" s="1"/>
      <c r="U17" s="1"/>
    </row>
    <row r="18" spans="1:21" ht="18" customHeight="1" x14ac:dyDescent="0.3">
      <c r="A18" s="173"/>
      <c r="B18" s="176"/>
      <c r="C18" s="1" t="s">
        <v>63</v>
      </c>
      <c r="D18" s="1">
        <v>998</v>
      </c>
      <c r="E18" s="1">
        <v>6</v>
      </c>
      <c r="F18" s="1" t="s">
        <v>41</v>
      </c>
      <c r="G18" s="1" t="s">
        <v>18</v>
      </c>
      <c r="H18" s="1" t="s">
        <v>60</v>
      </c>
      <c r="I18" s="12">
        <v>24.5</v>
      </c>
      <c r="J18" s="1"/>
      <c r="K18" s="1">
        <v>3.1680000000000001</v>
      </c>
      <c r="L18" s="8">
        <v>0.182336</v>
      </c>
      <c r="M18" s="1" t="s">
        <v>64</v>
      </c>
      <c r="N18" s="9" t="s">
        <v>65</v>
      </c>
      <c r="O18" s="20" t="s">
        <v>66</v>
      </c>
      <c r="P18" s="1"/>
      <c r="Q18" s="1"/>
      <c r="R18" s="1"/>
      <c r="S18" s="1"/>
      <c r="T18" s="1"/>
      <c r="U18" s="1"/>
    </row>
    <row r="19" spans="1:21" ht="18" customHeight="1" x14ac:dyDescent="0.3">
      <c r="A19" s="173"/>
      <c r="B19" s="176"/>
      <c r="C19" s="1" t="s">
        <v>67</v>
      </c>
      <c r="D19" s="1">
        <v>1998</v>
      </c>
      <c r="E19" s="1">
        <v>11</v>
      </c>
      <c r="F19" s="1" t="s">
        <v>41</v>
      </c>
      <c r="G19" s="1" t="s">
        <v>18</v>
      </c>
      <c r="H19" s="1" t="s">
        <v>68</v>
      </c>
      <c r="I19" s="1">
        <v>12.8</v>
      </c>
      <c r="J19" s="1"/>
      <c r="K19" s="1">
        <v>3.1680000000000001</v>
      </c>
      <c r="L19" s="8">
        <v>0.21490500000000001</v>
      </c>
      <c r="M19" s="1" t="s">
        <v>69</v>
      </c>
      <c r="N19" s="9" t="s">
        <v>70</v>
      </c>
      <c r="O19" s="9" t="s">
        <v>71</v>
      </c>
      <c r="P19" s="1"/>
      <c r="Q19" s="1"/>
      <c r="R19" s="1"/>
      <c r="S19" s="1"/>
      <c r="T19" s="1"/>
      <c r="U19" s="1"/>
    </row>
    <row r="20" spans="1:21" ht="18.75" customHeight="1" x14ac:dyDescent="0.3">
      <c r="A20" s="174"/>
      <c r="B20" s="21" t="s">
        <v>29</v>
      </c>
      <c r="C20" s="22" t="s">
        <v>72</v>
      </c>
      <c r="D20" s="22">
        <v>3690</v>
      </c>
      <c r="E20" s="15">
        <v>15</v>
      </c>
      <c r="F20" s="15" t="s">
        <v>17</v>
      </c>
      <c r="G20" s="15" t="s">
        <v>18</v>
      </c>
      <c r="H20" s="15" t="s">
        <v>73</v>
      </c>
      <c r="I20" s="15"/>
      <c r="J20" s="15"/>
      <c r="K20" s="15">
        <v>3.18</v>
      </c>
      <c r="L20" s="1"/>
      <c r="M20" s="1"/>
      <c r="N20" s="1"/>
      <c r="O20" s="1" t="s">
        <v>74</v>
      </c>
      <c r="P20" s="1"/>
      <c r="Q20" s="1"/>
      <c r="R20" s="1"/>
      <c r="S20" s="1"/>
      <c r="T20" s="1"/>
      <c r="U20" s="1"/>
    </row>
    <row r="21" spans="1:21" ht="15.75" customHeight="1" x14ac:dyDescent="0.3">
      <c r="A21" s="1"/>
      <c r="B21" s="1"/>
      <c r="C21" s="1"/>
      <c r="D21" s="1"/>
      <c r="E21" s="1"/>
      <c r="F21" s="1"/>
      <c r="G21" s="1"/>
      <c r="H21" s="1"/>
      <c r="I21" s="1">
        <f>AVERAGE(I13:I19)</f>
        <v>12.516666666666667</v>
      </c>
      <c r="J21" s="1"/>
      <c r="K21" s="1">
        <f>AVERAGE(K13:K20)</f>
        <v>3.1694999999999998</v>
      </c>
      <c r="L21" s="1">
        <f>AVERAGE(L13:L19)</f>
        <v>0.18181685714285711</v>
      </c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3">
      <c r="A22" s="1"/>
      <c r="B22" s="1"/>
      <c r="C22" s="1"/>
      <c r="D22" s="1"/>
      <c r="E22" s="1"/>
      <c r="F22" s="1"/>
      <c r="G22" s="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8" customHeight="1" x14ac:dyDescent="0.3">
      <c r="A23" s="172" t="s">
        <v>75</v>
      </c>
      <c r="B23" s="175" t="s">
        <v>15</v>
      </c>
      <c r="C23" s="6" t="s">
        <v>50</v>
      </c>
      <c r="D23" s="6">
        <v>1587</v>
      </c>
      <c r="E23" s="6">
        <v>9</v>
      </c>
      <c r="F23" s="6" t="s">
        <v>41</v>
      </c>
      <c r="G23" s="1" t="s">
        <v>18</v>
      </c>
      <c r="H23" s="6" t="s">
        <v>76</v>
      </c>
      <c r="I23" s="6">
        <v>10.8</v>
      </c>
      <c r="J23" s="6"/>
      <c r="K23" s="6">
        <v>3.1680000000000001</v>
      </c>
      <c r="L23" s="8">
        <v>0.17486599999999999</v>
      </c>
      <c r="M23" s="1" t="s">
        <v>52</v>
      </c>
      <c r="N23" s="9" t="s">
        <v>77</v>
      </c>
      <c r="O23" s="1"/>
      <c r="P23" s="1"/>
      <c r="Q23" s="1"/>
      <c r="R23" s="1"/>
      <c r="S23" s="1"/>
      <c r="T23" s="1"/>
      <c r="U23" s="1"/>
    </row>
    <row r="24" spans="1:21" ht="18" customHeight="1" x14ac:dyDescent="0.3">
      <c r="A24" s="173"/>
      <c r="B24" s="176"/>
      <c r="C24" s="1" t="s">
        <v>78</v>
      </c>
      <c r="D24" s="1">
        <v>1794</v>
      </c>
      <c r="E24" s="1">
        <v>10</v>
      </c>
      <c r="F24" s="1" t="s">
        <v>41</v>
      </c>
      <c r="G24" s="1" t="s">
        <v>18</v>
      </c>
      <c r="H24" s="1" t="s">
        <v>79</v>
      </c>
      <c r="I24" s="1">
        <v>7.4</v>
      </c>
      <c r="J24" s="1"/>
      <c r="K24" s="1">
        <v>3.1680000000000001</v>
      </c>
      <c r="L24" s="8">
        <v>0.17486599999999999</v>
      </c>
      <c r="M24" s="1" t="s">
        <v>52</v>
      </c>
      <c r="N24" s="9" t="s">
        <v>80</v>
      </c>
      <c r="O24" s="9" t="s">
        <v>81</v>
      </c>
      <c r="P24" s="1"/>
      <c r="Q24" s="1"/>
      <c r="R24" s="1"/>
      <c r="S24" s="1"/>
      <c r="T24" s="1"/>
      <c r="U24" s="1"/>
    </row>
    <row r="25" spans="1:21" ht="18" customHeight="1" x14ac:dyDescent="0.3">
      <c r="A25" s="173"/>
      <c r="B25" s="176"/>
      <c r="C25" s="1" t="s">
        <v>82</v>
      </c>
      <c r="D25" s="1">
        <v>1398</v>
      </c>
      <c r="E25" s="1">
        <v>8</v>
      </c>
      <c r="F25" s="1" t="s">
        <v>41</v>
      </c>
      <c r="G25" s="1" t="s">
        <v>18</v>
      </c>
      <c r="H25" s="1" t="s">
        <v>83</v>
      </c>
      <c r="I25" s="1">
        <v>8.9</v>
      </c>
      <c r="J25" s="1"/>
      <c r="K25" s="1">
        <v>3.1680000000000001</v>
      </c>
      <c r="L25" s="8">
        <v>0.17012099999999999</v>
      </c>
      <c r="M25" s="1" t="s">
        <v>43</v>
      </c>
      <c r="N25" s="9" t="s">
        <v>84</v>
      </c>
      <c r="O25" s="1"/>
      <c r="P25" s="1"/>
      <c r="Q25" s="1"/>
      <c r="R25" s="1"/>
      <c r="S25" s="1"/>
      <c r="T25" s="1"/>
      <c r="U25" s="1"/>
    </row>
    <row r="26" spans="1:21" ht="18" customHeight="1" x14ac:dyDescent="0.3">
      <c r="A26" s="173"/>
      <c r="B26" s="176"/>
      <c r="C26" s="1" t="s">
        <v>85</v>
      </c>
      <c r="D26" s="1">
        <v>1332</v>
      </c>
      <c r="E26" s="1">
        <v>7</v>
      </c>
      <c r="F26" s="1" t="s">
        <v>41</v>
      </c>
      <c r="G26" s="1" t="s">
        <v>18</v>
      </c>
      <c r="H26" s="1" t="s">
        <v>86</v>
      </c>
      <c r="I26" s="1">
        <v>9.0399999999999991</v>
      </c>
      <c r="J26" s="1"/>
      <c r="K26" s="1">
        <v>3.1680000000000001</v>
      </c>
      <c r="L26" s="8">
        <v>0.173288</v>
      </c>
      <c r="M26" s="1" t="s">
        <v>46</v>
      </c>
      <c r="N26" s="9" t="s">
        <v>87</v>
      </c>
      <c r="O26" s="9" t="s">
        <v>88</v>
      </c>
      <c r="P26" s="9" t="s">
        <v>89</v>
      </c>
      <c r="Q26" s="1"/>
      <c r="R26" s="1"/>
      <c r="S26" s="1"/>
      <c r="T26" s="1"/>
      <c r="U26" s="1"/>
    </row>
    <row r="27" spans="1:21" ht="18" customHeight="1" x14ac:dyDescent="0.3">
      <c r="A27" s="173"/>
      <c r="B27" s="176"/>
      <c r="C27" s="5" t="s">
        <v>90</v>
      </c>
      <c r="D27" s="1">
        <v>998</v>
      </c>
      <c r="E27" s="1">
        <v>6</v>
      </c>
      <c r="F27" s="1" t="s">
        <v>41</v>
      </c>
      <c r="G27" s="1" t="s">
        <v>18</v>
      </c>
      <c r="H27" s="1" t="s">
        <v>91</v>
      </c>
      <c r="I27" s="1"/>
      <c r="J27" s="1"/>
      <c r="K27" s="1">
        <v>3.1680000000000001</v>
      </c>
      <c r="L27" s="8">
        <v>0.1547</v>
      </c>
      <c r="M27" s="20" t="s">
        <v>92</v>
      </c>
      <c r="N27" s="9" t="s">
        <v>93</v>
      </c>
      <c r="O27" s="1"/>
      <c r="P27" s="1"/>
      <c r="Q27" s="1"/>
      <c r="R27" s="1"/>
      <c r="S27" s="1"/>
      <c r="T27" s="1"/>
      <c r="U27" s="1"/>
    </row>
    <row r="28" spans="1:21" ht="18" customHeight="1" x14ac:dyDescent="0.3">
      <c r="A28" s="174"/>
      <c r="B28" s="177"/>
      <c r="C28" s="17" t="s">
        <v>55</v>
      </c>
      <c r="D28" s="17">
        <v>998</v>
      </c>
      <c r="E28" s="17">
        <v>6</v>
      </c>
      <c r="F28" s="17" t="s">
        <v>41</v>
      </c>
      <c r="G28" s="17" t="s">
        <v>18</v>
      </c>
      <c r="H28" s="17" t="s">
        <v>56</v>
      </c>
      <c r="I28" s="17">
        <v>6.8</v>
      </c>
      <c r="J28" s="17"/>
      <c r="K28" s="17">
        <v>3.1680000000000001</v>
      </c>
      <c r="L28" s="8">
        <v>0.1547</v>
      </c>
      <c r="M28" s="1" t="s">
        <v>94</v>
      </c>
      <c r="N28" s="9" t="s">
        <v>95</v>
      </c>
      <c r="O28" s="9" t="s">
        <v>96</v>
      </c>
      <c r="P28" s="1"/>
      <c r="Q28" s="1"/>
      <c r="R28" s="1"/>
      <c r="S28" s="1"/>
      <c r="T28" s="1"/>
      <c r="U28" s="1"/>
    </row>
    <row r="29" spans="1:21" ht="15.75" customHeight="1" x14ac:dyDescent="0.3">
      <c r="A29" s="1"/>
      <c r="B29" s="1"/>
      <c r="C29" s="1"/>
      <c r="D29" s="1"/>
      <c r="E29" s="1"/>
      <c r="F29" s="1"/>
      <c r="G29" s="1"/>
      <c r="H29" s="1"/>
      <c r="I29" s="1">
        <f>AVERAGE(I23:I28)</f>
        <v>8.5879999999999992</v>
      </c>
      <c r="J29" s="1"/>
      <c r="K29" s="1">
        <f t="shared" ref="K29:L29" si="1">AVERAGE(K23:K28)</f>
        <v>3.1679999999999997</v>
      </c>
      <c r="L29" s="1">
        <f t="shared" si="1"/>
        <v>0.16709016666666668</v>
      </c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 x14ac:dyDescent="0.3">
      <c r="A34" s="1"/>
      <c r="B34" s="1"/>
      <c r="C34" s="1"/>
      <c r="D34" s="1" t="s">
        <v>97</v>
      </c>
      <c r="E34" s="1" t="s">
        <v>98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 x14ac:dyDescent="0.3">
      <c r="A35" s="1"/>
      <c r="B35" s="1"/>
      <c r="C35" s="1"/>
      <c r="D35" s="1" t="s">
        <v>99</v>
      </c>
      <c r="E35" s="1" t="s">
        <v>100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8">
    <mergeCell ref="A23:A28"/>
    <mergeCell ref="B23:B28"/>
    <mergeCell ref="A2:B2"/>
    <mergeCell ref="A4:A9"/>
    <mergeCell ref="B4:B6"/>
    <mergeCell ref="B7:B9"/>
    <mergeCell ref="A13:A20"/>
    <mergeCell ref="B13:B19"/>
  </mergeCells>
  <hyperlinks>
    <hyperlink ref="N4" r:id="rId1" xr:uid="{00000000-0004-0000-0000-000000000000}"/>
    <hyperlink ref="N5" r:id="rId2" xr:uid="{00000000-0004-0000-0000-000001000000}"/>
    <hyperlink ref="N6" r:id="rId3" xr:uid="{00000000-0004-0000-0000-000002000000}"/>
    <hyperlink ref="N7" r:id="rId4" xr:uid="{00000000-0004-0000-0000-000003000000}"/>
    <hyperlink ref="N8" r:id="rId5" xr:uid="{00000000-0004-0000-0000-000004000000}"/>
    <hyperlink ref="N9" r:id="rId6" xr:uid="{00000000-0004-0000-0000-000005000000}"/>
    <hyperlink ref="N14" r:id="rId7" xr:uid="{00000000-0004-0000-0000-000006000000}"/>
    <hyperlink ref="O14" r:id="rId8" xr:uid="{00000000-0004-0000-0000-000007000000}"/>
    <hyperlink ref="P14" r:id="rId9" xr:uid="{00000000-0004-0000-0000-000008000000}"/>
    <hyperlink ref="N15" r:id="rId10" xr:uid="{00000000-0004-0000-0000-000009000000}"/>
    <hyperlink ref="O15" r:id="rId11" xr:uid="{00000000-0004-0000-0000-00000A000000}"/>
    <hyperlink ref="N16" r:id="rId12" xr:uid="{00000000-0004-0000-0000-00000B000000}"/>
    <hyperlink ref="N17" r:id="rId13" xr:uid="{00000000-0004-0000-0000-00000C000000}"/>
    <hyperlink ref="N18" r:id="rId14" xr:uid="{00000000-0004-0000-0000-00000D000000}"/>
    <hyperlink ref="O19" r:id="rId15" location="aeng_toyota-avensis-2003-20-vvti-4at-147-hp" xr:uid="{00000000-0004-0000-0000-00000E000000}"/>
    <hyperlink ref="N23" r:id="rId16" xr:uid="{00000000-0004-0000-0000-00000F000000}"/>
    <hyperlink ref="N24" r:id="rId17" xr:uid="{00000000-0004-0000-0000-000010000000}"/>
    <hyperlink ref="O24" r:id="rId18" xr:uid="{00000000-0004-0000-0000-000011000000}"/>
    <hyperlink ref="N25" r:id="rId19" xr:uid="{00000000-0004-0000-0000-000012000000}"/>
    <hyperlink ref="N26" r:id="rId20" xr:uid="{00000000-0004-0000-0000-000013000000}"/>
    <hyperlink ref="O26" r:id="rId21" xr:uid="{00000000-0004-0000-0000-000014000000}"/>
    <hyperlink ref="P26" r:id="rId22" xr:uid="{00000000-0004-0000-0000-000015000000}"/>
    <hyperlink ref="N27" r:id="rId23" xr:uid="{00000000-0004-0000-0000-000016000000}"/>
    <hyperlink ref="N28" r:id="rId24" xr:uid="{00000000-0004-0000-0000-000017000000}"/>
    <hyperlink ref="O28" r:id="rId25" xr:uid="{00000000-0004-0000-0000-000018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06"/>
  <sheetViews>
    <sheetView topLeftCell="A17" zoomScale="70" zoomScaleNormal="70" workbookViewId="0">
      <selection activeCell="I17" sqref="I17"/>
    </sheetView>
  </sheetViews>
  <sheetFormatPr defaultColWidth="14.44140625" defaultRowHeight="15" customHeight="1" x14ac:dyDescent="0.3"/>
  <cols>
    <col min="1" max="1" width="6.6640625" customWidth="1"/>
    <col min="2" max="2" width="14.33203125" customWidth="1"/>
    <col min="3" max="3" width="37.6640625" customWidth="1"/>
    <col min="4" max="4" width="14.6640625" customWidth="1"/>
    <col min="5" max="5" width="11.44140625" customWidth="1"/>
    <col min="6" max="6" width="16.88671875" customWidth="1"/>
    <col min="7" max="7" width="13.6640625" customWidth="1"/>
    <col min="8" max="8" width="18" customWidth="1"/>
    <col min="9" max="9" width="18.88671875" customWidth="1"/>
    <col min="10" max="11" width="8.6640625" customWidth="1"/>
    <col min="12" max="12" width="36" customWidth="1"/>
    <col min="13" max="13" width="15.33203125" customWidth="1"/>
    <col min="14" max="14" width="12.33203125" customWidth="1"/>
    <col min="15" max="15" width="10.33203125" customWidth="1"/>
    <col min="16" max="16" width="14" customWidth="1"/>
    <col min="17" max="18" width="22.88671875" customWidth="1"/>
    <col min="19" max="20" width="8.6640625" customWidth="1"/>
    <col min="21" max="21" width="49.6640625" customWidth="1"/>
    <col min="22" max="22" width="15.44140625" customWidth="1"/>
    <col min="23" max="23" width="12.88671875" customWidth="1"/>
    <col min="24" max="24" width="14.88671875" customWidth="1"/>
    <col min="25" max="25" width="13.6640625" customWidth="1"/>
    <col min="26" max="26" width="21.88671875" customWidth="1"/>
    <col min="27" max="27" width="20" customWidth="1"/>
    <col min="28" max="32" width="8.6640625" customWidth="1"/>
    <col min="33" max="33" width="10.6640625" customWidth="1"/>
    <col min="34" max="34" width="20.88671875" customWidth="1"/>
    <col min="35" max="36" width="13.109375" customWidth="1"/>
    <col min="37" max="37" width="13" customWidth="1"/>
    <col min="38" max="38" width="13.88671875" customWidth="1"/>
    <col min="39" max="39" width="16.44140625" customWidth="1"/>
    <col min="40" max="40" width="13" customWidth="1"/>
  </cols>
  <sheetData>
    <row r="1" spans="1:49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</row>
    <row r="2" spans="1:49" ht="21" customHeight="1" x14ac:dyDescent="0.35">
      <c r="A2" s="23"/>
      <c r="B2" s="24" t="s">
        <v>101</v>
      </c>
      <c r="C2" s="23"/>
      <c r="D2" s="189" t="s">
        <v>102</v>
      </c>
      <c r="E2" s="176"/>
      <c r="F2" s="25" t="s">
        <v>103</v>
      </c>
      <c r="G2" s="25" t="s">
        <v>104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</row>
    <row r="3" spans="1:49" ht="15" customHeight="1" x14ac:dyDescent="0.3">
      <c r="A3" s="23"/>
      <c r="B3" s="190" t="s">
        <v>105</v>
      </c>
      <c r="C3" s="26" t="s">
        <v>15</v>
      </c>
      <c r="D3" s="191">
        <v>2.5</v>
      </c>
      <c r="E3" s="176"/>
      <c r="F3" s="23">
        <v>3.3</v>
      </c>
      <c r="G3" s="23">
        <v>2.5</v>
      </c>
      <c r="H3" s="23" t="s">
        <v>106</v>
      </c>
      <c r="I3" s="28" t="s">
        <v>107</v>
      </c>
      <c r="J3" s="23"/>
      <c r="K3" s="23"/>
      <c r="L3" s="192"/>
      <c r="M3" s="26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</row>
    <row r="4" spans="1:49" ht="28.5" customHeight="1" x14ac:dyDescent="0.3">
      <c r="A4" s="23"/>
      <c r="B4" s="176"/>
      <c r="C4" s="26" t="s">
        <v>29</v>
      </c>
      <c r="D4" s="191">
        <v>3</v>
      </c>
      <c r="E4" s="176"/>
      <c r="F4" s="23"/>
      <c r="G4" s="23"/>
      <c r="H4" s="23" t="s">
        <v>106</v>
      </c>
      <c r="I4" s="23"/>
      <c r="J4" s="23"/>
      <c r="K4" s="23"/>
      <c r="L4" s="176"/>
      <c r="M4" s="26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spans="1:49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5"/>
      <c r="J5" s="25"/>
      <c r="K5" s="23"/>
      <c r="L5" s="29"/>
      <c r="M5" s="25"/>
      <c r="N5" s="25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 ht="15" customHeight="1" x14ac:dyDescent="0.3">
      <c r="A6" s="23"/>
      <c r="B6" s="176"/>
      <c r="C6" s="30" t="s">
        <v>111</v>
      </c>
      <c r="D6" s="191">
        <f>30+14</f>
        <v>44</v>
      </c>
      <c r="E6" s="176"/>
      <c r="F6" s="23">
        <v>19</v>
      </c>
      <c r="G6" s="23">
        <v>13</v>
      </c>
      <c r="H6" s="23"/>
      <c r="I6" s="23"/>
      <c r="J6" s="23"/>
      <c r="K6" s="23"/>
      <c r="L6" s="30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</row>
    <row r="7" spans="1:49" ht="15" customHeight="1" x14ac:dyDescent="0.3">
      <c r="A7" s="23"/>
      <c r="B7" s="176"/>
      <c r="C7" s="30" t="s">
        <v>112</v>
      </c>
      <c r="D7" s="191">
        <f>144+69</f>
        <v>213</v>
      </c>
      <c r="E7" s="176"/>
      <c r="F7" s="23">
        <v>78</v>
      </c>
      <c r="G7" s="23">
        <v>65</v>
      </c>
      <c r="H7" s="23"/>
      <c r="I7" s="23"/>
      <c r="J7" s="23"/>
      <c r="K7" s="23"/>
      <c r="L7" s="30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49" ht="15" customHeight="1" x14ac:dyDescent="0.3">
      <c r="A8" s="23"/>
      <c r="B8" s="176"/>
      <c r="C8" s="30" t="s">
        <v>113</v>
      </c>
      <c r="D8" s="191">
        <f>224+180</f>
        <v>404</v>
      </c>
      <c r="E8" s="176"/>
      <c r="F8" s="23">
        <v>91</v>
      </c>
      <c r="G8" s="23">
        <v>61</v>
      </c>
      <c r="H8" s="23"/>
      <c r="I8" s="23"/>
      <c r="J8" s="23"/>
      <c r="K8" s="23"/>
      <c r="L8" s="30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49" ht="15" customHeight="1" x14ac:dyDescent="0.3">
      <c r="A9" s="23"/>
      <c r="B9" s="176"/>
      <c r="C9" s="30" t="s">
        <v>114</v>
      </c>
      <c r="D9" s="191">
        <f>128+86</f>
        <v>214</v>
      </c>
      <c r="E9" s="176"/>
      <c r="F9" s="23">
        <v>88</v>
      </c>
      <c r="G9" s="23">
        <v>39</v>
      </c>
      <c r="H9" s="23"/>
      <c r="I9" s="23"/>
      <c r="J9" s="23" t="s">
        <v>610</v>
      </c>
      <c r="K9" s="23"/>
      <c r="L9" s="30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ht="15" customHeight="1" x14ac:dyDescent="0.3">
      <c r="A10" s="23"/>
      <c r="B10" s="176"/>
      <c r="C10" s="30" t="s">
        <v>115</v>
      </c>
      <c r="D10" s="191">
        <f>124+66</f>
        <v>190</v>
      </c>
      <c r="E10" s="176"/>
      <c r="F10" s="23">
        <v>34</v>
      </c>
      <c r="G10" s="23">
        <v>31</v>
      </c>
      <c r="H10" s="23"/>
      <c r="I10" s="23"/>
      <c r="J10" s="23"/>
      <c r="K10" s="23"/>
      <c r="L10" s="30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ht="15" customHeight="1" x14ac:dyDescent="0.3">
      <c r="A11" s="23"/>
      <c r="B11" s="31"/>
      <c r="C11" s="30" t="s">
        <v>116</v>
      </c>
      <c r="D11" s="23">
        <v>365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49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ht="15" customHeight="1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184"/>
      <c r="R13" s="185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49" ht="18.75" customHeight="1" x14ac:dyDescent="0.35">
      <c r="A14" s="23"/>
      <c r="B14" s="23"/>
      <c r="C14" s="32" t="s">
        <v>117</v>
      </c>
      <c r="D14" s="33"/>
      <c r="E14" s="33"/>
      <c r="F14" s="33"/>
      <c r="G14" s="33"/>
      <c r="H14" s="184" t="s">
        <v>118</v>
      </c>
      <c r="I14" s="185"/>
      <c r="J14" s="23"/>
      <c r="K14" s="23"/>
      <c r="L14" s="32" t="s">
        <v>119</v>
      </c>
      <c r="M14" s="33"/>
      <c r="N14" s="33"/>
      <c r="O14" s="33"/>
      <c r="P14" s="33"/>
      <c r="Q14" s="184" t="s">
        <v>118</v>
      </c>
      <c r="R14" s="185"/>
      <c r="S14" s="23"/>
      <c r="T14" s="23"/>
      <c r="U14" s="32" t="s">
        <v>119</v>
      </c>
      <c r="V14" s="33"/>
      <c r="W14" s="33"/>
      <c r="X14" s="33"/>
      <c r="Y14" s="33"/>
      <c r="Z14" s="35"/>
      <c r="AA14" s="35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</row>
    <row r="15" spans="1:49" ht="51" customHeight="1" x14ac:dyDescent="0.3">
      <c r="A15" s="23"/>
      <c r="B15" s="36" t="s">
        <v>120</v>
      </c>
      <c r="C15" s="37" t="s">
        <v>121</v>
      </c>
      <c r="D15" s="38" t="s">
        <v>122</v>
      </c>
      <c r="E15" s="38" t="s">
        <v>123</v>
      </c>
      <c r="F15" s="38" t="s">
        <v>124</v>
      </c>
      <c r="G15" s="38" t="s">
        <v>125</v>
      </c>
      <c r="H15" s="39" t="s">
        <v>126</v>
      </c>
      <c r="I15" s="40" t="s">
        <v>127</v>
      </c>
      <c r="J15" s="23"/>
      <c r="K15" s="23"/>
      <c r="L15" s="37" t="s">
        <v>128</v>
      </c>
      <c r="M15" s="38" t="s">
        <v>122</v>
      </c>
      <c r="N15" s="38" t="s">
        <v>129</v>
      </c>
      <c r="O15" s="38" t="s">
        <v>130</v>
      </c>
      <c r="P15" s="38" t="s">
        <v>131</v>
      </c>
      <c r="Q15" s="41" t="s">
        <v>126</v>
      </c>
      <c r="R15" s="42" t="s">
        <v>127</v>
      </c>
      <c r="S15" s="23"/>
      <c r="T15" s="23"/>
      <c r="U15" s="43" t="s">
        <v>132</v>
      </c>
      <c r="V15" s="38" t="s">
        <v>122</v>
      </c>
      <c r="W15" s="38" t="s">
        <v>129</v>
      </c>
      <c r="X15" s="38" t="s">
        <v>130</v>
      </c>
      <c r="Y15" s="38" t="s">
        <v>131</v>
      </c>
      <c r="Z15" s="41" t="s">
        <v>126</v>
      </c>
      <c r="AA15" s="42" t="s">
        <v>127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</row>
    <row r="16" spans="1:49" ht="19.5" customHeight="1" x14ac:dyDescent="0.35">
      <c r="A16" s="23"/>
      <c r="B16" s="23"/>
      <c r="C16" s="44" t="s">
        <v>133</v>
      </c>
      <c r="D16" s="45">
        <v>0</v>
      </c>
      <c r="E16" s="45">
        <v>0</v>
      </c>
      <c r="F16" s="46" t="s">
        <v>134</v>
      </c>
      <c r="G16" s="47">
        <v>0</v>
      </c>
      <c r="H16" s="182">
        <f>D6*D3*'Vehicle Infos'!K10</f>
        <v>349.8</v>
      </c>
      <c r="I16" s="44">
        <f>$D$6*'Monday Est.'!E16*'Vehicle Infos'!$L$10</f>
        <v>0</v>
      </c>
      <c r="J16" s="23"/>
      <c r="K16" s="23"/>
      <c r="L16" s="44" t="s">
        <v>135</v>
      </c>
      <c r="M16" s="48">
        <v>0</v>
      </c>
      <c r="N16" s="47">
        <v>0</v>
      </c>
      <c r="O16" s="46" t="s">
        <v>134</v>
      </c>
      <c r="P16" s="47">
        <v>0</v>
      </c>
      <c r="Q16" s="182">
        <f>F6*F3*'Vehicle Infos'!K21</f>
        <v>198.72764999999998</v>
      </c>
      <c r="R16" s="23">
        <f>$F$6*'Monday Est.'!N16*'Vehicle Infos'!$L$21</f>
        <v>0</v>
      </c>
      <c r="S16" s="23"/>
      <c r="T16" s="23"/>
      <c r="U16" s="44" t="s">
        <v>136</v>
      </c>
      <c r="V16" s="48">
        <v>0</v>
      </c>
      <c r="W16" s="47">
        <v>0</v>
      </c>
      <c r="X16" s="46" t="s">
        <v>134</v>
      </c>
      <c r="Y16" s="47">
        <v>0</v>
      </c>
      <c r="Z16" s="183">
        <f>G6*G3*'Vehicle Infos'!K29</f>
        <v>102.96</v>
      </c>
      <c r="AA16" s="49">
        <f>$G$6*'Monday Est.'!W16*'Vehicle Infos'!$L$29</f>
        <v>0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ht="19.5" customHeight="1" x14ac:dyDescent="0.35">
      <c r="A17" s="23"/>
      <c r="B17" s="23"/>
      <c r="C17" s="44" t="s">
        <v>137</v>
      </c>
      <c r="D17" s="45">
        <v>7.5</v>
      </c>
      <c r="E17" s="45">
        <v>7.5</v>
      </c>
      <c r="F17" s="46" t="s">
        <v>138</v>
      </c>
      <c r="G17" s="47">
        <v>7</v>
      </c>
      <c r="H17" s="181"/>
      <c r="I17" s="44">
        <f>$D$6*'Monday Est.'!E17*'Vehicle Infos'!$L$10</f>
        <v>84.978520000000003</v>
      </c>
      <c r="J17" s="23"/>
      <c r="K17" s="23"/>
      <c r="L17" s="44" t="s">
        <v>139</v>
      </c>
      <c r="M17" s="48">
        <v>1</v>
      </c>
      <c r="N17" s="47">
        <v>1</v>
      </c>
      <c r="O17" s="46" t="s">
        <v>140</v>
      </c>
      <c r="P17" s="47">
        <v>2</v>
      </c>
      <c r="Q17" s="181"/>
      <c r="R17" s="23">
        <f>$F$6*'Monday Est.'!N17*'Vehicle Infos'!$L$21</f>
        <v>3.4545202857142852</v>
      </c>
      <c r="S17" s="23"/>
      <c r="T17" s="23"/>
      <c r="U17" s="44" t="s">
        <v>141</v>
      </c>
      <c r="V17" s="48">
        <v>3</v>
      </c>
      <c r="W17" s="51">
        <v>3</v>
      </c>
      <c r="X17" s="46" t="s">
        <v>142</v>
      </c>
      <c r="Y17" s="47">
        <v>5</v>
      </c>
      <c r="Z17" s="181"/>
      <c r="AA17" s="49">
        <f>$G$6*'Monday Est.'!W17*'Vehicle Infos'!$L$29</f>
        <v>6.5165165000000007</v>
      </c>
      <c r="AB17" s="23"/>
      <c r="AC17" s="23"/>
      <c r="AD17" s="23"/>
      <c r="AE17" s="23"/>
      <c r="AF17" s="23"/>
      <c r="AG17" s="23"/>
      <c r="AH17" s="5"/>
      <c r="AI17" s="5"/>
      <c r="AJ17" s="52"/>
      <c r="AK17" s="52"/>
      <c r="AL17" s="52"/>
      <c r="AM17" s="52"/>
      <c r="AN17" s="23"/>
      <c r="AO17" s="23"/>
      <c r="AP17" s="23"/>
      <c r="AQ17" s="23"/>
      <c r="AR17" s="23"/>
      <c r="AS17" s="23"/>
      <c r="AT17" s="23"/>
      <c r="AU17" s="23"/>
      <c r="AV17" s="23"/>
      <c r="AW17" s="23"/>
    </row>
    <row r="18" spans="1:49" ht="19.5" customHeight="1" x14ac:dyDescent="0.35">
      <c r="A18" s="23"/>
      <c r="B18" s="23"/>
      <c r="C18" s="44" t="s">
        <v>143</v>
      </c>
      <c r="D18" s="45">
        <v>8</v>
      </c>
      <c r="E18" s="45">
        <v>0.5</v>
      </c>
      <c r="F18" s="46" t="s">
        <v>144</v>
      </c>
      <c r="G18" s="47">
        <v>3</v>
      </c>
      <c r="H18" s="181"/>
      <c r="I18" s="44">
        <f>$D$6*'Monday Est.'!E18*'Vehicle Infos'!$L$10</f>
        <v>5.6652346666666666</v>
      </c>
      <c r="J18" s="23"/>
      <c r="K18" s="23"/>
      <c r="L18" s="44" t="s">
        <v>145</v>
      </c>
      <c r="M18" s="48">
        <v>2.5</v>
      </c>
      <c r="N18" s="51">
        <v>1.5</v>
      </c>
      <c r="O18" s="46" t="s">
        <v>142</v>
      </c>
      <c r="P18" s="51">
        <v>3</v>
      </c>
      <c r="Q18" s="181"/>
      <c r="R18" s="23">
        <f>$F$6*'Monday Est.'!N18*'Vehicle Infos'!$L$21</f>
        <v>5.181780428571428</v>
      </c>
      <c r="S18" s="23"/>
      <c r="T18" s="23"/>
      <c r="U18" s="44" t="s">
        <v>146</v>
      </c>
      <c r="V18" s="48">
        <v>5.5</v>
      </c>
      <c r="W18" s="51">
        <v>2.5</v>
      </c>
      <c r="X18" s="46" t="s">
        <v>147</v>
      </c>
      <c r="Y18" s="51">
        <v>7</v>
      </c>
      <c r="Z18" s="181"/>
      <c r="AA18" s="49">
        <f>$G$6*'Monday Est.'!W18*'Vehicle Infos'!$L$29</f>
        <v>5.4304304166666668</v>
      </c>
      <c r="AB18" s="23"/>
      <c r="AC18" s="23"/>
      <c r="AD18" s="23"/>
      <c r="AE18" s="23"/>
      <c r="AF18" s="23"/>
      <c r="AG18" s="23"/>
      <c r="AH18" s="5"/>
      <c r="AI18" s="1"/>
      <c r="AJ18" s="1"/>
      <c r="AK18" s="1"/>
      <c r="AL18" s="1"/>
      <c r="AM18" s="1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ht="19.5" customHeight="1" x14ac:dyDescent="0.35">
      <c r="A19" s="23"/>
      <c r="B19" s="23"/>
      <c r="C19" s="44" t="s">
        <v>148</v>
      </c>
      <c r="D19" s="45">
        <v>9</v>
      </c>
      <c r="E19" s="45">
        <v>1</v>
      </c>
      <c r="F19" s="46" t="s">
        <v>149</v>
      </c>
      <c r="G19" s="47">
        <v>4</v>
      </c>
      <c r="H19" s="181"/>
      <c r="I19" s="44">
        <f>$D$6*'Monday Est.'!E19*'Vehicle Infos'!$L$10</f>
        <v>11.330469333333333</v>
      </c>
      <c r="J19" s="23"/>
      <c r="K19" s="23"/>
      <c r="L19" s="44" t="s">
        <v>150</v>
      </c>
      <c r="M19" s="48">
        <v>9</v>
      </c>
      <c r="N19" s="51">
        <v>6.5</v>
      </c>
      <c r="O19" s="46" t="s">
        <v>149</v>
      </c>
      <c r="P19" s="51">
        <v>9</v>
      </c>
      <c r="Q19" s="181"/>
      <c r="R19" s="23">
        <f>$F$6*'Monday Est.'!N19*'Vehicle Infos'!$L$21</f>
        <v>22.454381857142852</v>
      </c>
      <c r="S19" s="23"/>
      <c r="T19" s="23"/>
      <c r="U19" s="44" t="s">
        <v>151</v>
      </c>
      <c r="V19" s="48">
        <v>7.5</v>
      </c>
      <c r="W19" s="51">
        <v>2</v>
      </c>
      <c r="X19" s="46" t="s">
        <v>152</v>
      </c>
      <c r="Y19" s="51">
        <v>7</v>
      </c>
      <c r="Z19" s="181"/>
      <c r="AA19" s="49">
        <f>$G$6*'Monday Est.'!W19*'Vehicle Infos'!$L$29</f>
        <v>4.3443443333333338</v>
      </c>
      <c r="AB19" s="23"/>
      <c r="AC19" s="23"/>
      <c r="AD19" s="23"/>
      <c r="AE19" s="23"/>
      <c r="AF19" s="23"/>
      <c r="AG19" s="23"/>
      <c r="AH19" s="5"/>
      <c r="AI19" s="1"/>
      <c r="AJ19" s="1"/>
      <c r="AK19" s="1"/>
      <c r="AL19" s="1"/>
      <c r="AM19" s="1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ht="19.5" customHeight="1" x14ac:dyDescent="0.35">
      <c r="A20" s="23"/>
      <c r="B20" s="23"/>
      <c r="C20" s="44" t="s">
        <v>153</v>
      </c>
      <c r="D20" s="45">
        <v>10</v>
      </c>
      <c r="E20" s="45">
        <v>1</v>
      </c>
      <c r="F20" s="46" t="s">
        <v>154</v>
      </c>
      <c r="G20" s="47">
        <v>4</v>
      </c>
      <c r="H20" s="181"/>
      <c r="I20" s="44">
        <f>$D$6*'Monday Est.'!E20*'Vehicle Infos'!$L$10</f>
        <v>11.330469333333333</v>
      </c>
      <c r="J20" s="23"/>
      <c r="K20" s="23"/>
      <c r="L20" s="44" t="s">
        <v>155</v>
      </c>
      <c r="M20" s="48">
        <v>12</v>
      </c>
      <c r="N20" s="51">
        <v>3</v>
      </c>
      <c r="O20" s="46" t="s">
        <v>152</v>
      </c>
      <c r="P20" s="51">
        <v>5</v>
      </c>
      <c r="Q20" s="181"/>
      <c r="R20" s="23">
        <f>$F$6*'Monday Est.'!N20*'Vehicle Infos'!$L$21</f>
        <v>10.363560857142856</v>
      </c>
      <c r="S20" s="23"/>
      <c r="T20" s="23"/>
      <c r="U20" s="44" t="s">
        <v>156</v>
      </c>
      <c r="V20" s="48">
        <v>12</v>
      </c>
      <c r="W20" s="51">
        <v>4.5</v>
      </c>
      <c r="X20" s="46" t="s">
        <v>157</v>
      </c>
      <c r="Y20" s="51">
        <v>16</v>
      </c>
      <c r="Z20" s="181"/>
      <c r="AA20" s="49">
        <f>$G$6*'Monday Est.'!W20*'Vehicle Infos'!$L$29</f>
        <v>9.7747747500000006</v>
      </c>
      <c r="AB20" s="23"/>
      <c r="AC20" s="23"/>
      <c r="AD20" s="23"/>
      <c r="AE20" s="23"/>
      <c r="AF20" s="23"/>
      <c r="AG20" s="23"/>
      <c r="AH20" s="5"/>
      <c r="AI20" s="188"/>
      <c r="AJ20" s="176"/>
      <c r="AK20" s="176"/>
      <c r="AL20" s="176"/>
      <c r="AM20" s="176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ht="19.5" customHeight="1" x14ac:dyDescent="0.35">
      <c r="A21" s="23"/>
      <c r="B21" s="23"/>
      <c r="C21" s="44" t="s">
        <v>158</v>
      </c>
      <c r="D21" s="45">
        <v>11</v>
      </c>
      <c r="E21" s="45">
        <v>1</v>
      </c>
      <c r="F21" s="46" t="s">
        <v>159</v>
      </c>
      <c r="G21" s="47">
        <v>8</v>
      </c>
      <c r="H21" s="181"/>
      <c r="I21" s="44">
        <f>$D$6*'Monday Est.'!E21*'Vehicle Infos'!$L$10</f>
        <v>11.330469333333333</v>
      </c>
      <c r="J21" s="23"/>
      <c r="K21" s="23"/>
      <c r="L21" s="44" t="s">
        <v>160</v>
      </c>
      <c r="M21" s="48">
        <v>15.5</v>
      </c>
      <c r="N21" s="51">
        <v>3.5</v>
      </c>
      <c r="O21" s="46" t="s">
        <v>161</v>
      </c>
      <c r="P21" s="51">
        <v>5</v>
      </c>
      <c r="Q21" s="181"/>
      <c r="R21" s="23">
        <f>$F$6*'Monday Est.'!N21*'Vehicle Infos'!$L$21</f>
        <v>12.090820999999998</v>
      </c>
      <c r="S21" s="23"/>
      <c r="T21" s="23"/>
      <c r="U21" s="54" t="s">
        <v>162</v>
      </c>
      <c r="V21" s="48"/>
      <c r="W21" s="51">
        <f>SUM(W17:W20)</f>
        <v>12</v>
      </c>
      <c r="X21" s="46"/>
      <c r="Y21" s="55">
        <f>SUM(Y17:Y20)</f>
        <v>35</v>
      </c>
      <c r="Z21" s="56">
        <f>SUM(Z16)</f>
        <v>102.96</v>
      </c>
      <c r="AA21" s="49">
        <f>$G$6*'Monday Est.'!W21*'Vehicle Infos'!$L$29</f>
        <v>26.066066000000003</v>
      </c>
      <c r="AB21" s="23"/>
      <c r="AC21" s="23"/>
      <c r="AD21" s="23"/>
      <c r="AE21" s="23"/>
      <c r="AF21" s="23"/>
      <c r="AG21" s="23"/>
      <c r="AH21" s="5"/>
      <c r="AI21" s="1"/>
      <c r="AJ21" s="1"/>
      <c r="AK21" s="1"/>
      <c r="AL21" s="1"/>
      <c r="AM21" s="1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ht="19.5" customHeight="1" x14ac:dyDescent="0.35">
      <c r="A22" s="23"/>
      <c r="B22" s="23"/>
      <c r="C22" s="44" t="s">
        <v>163</v>
      </c>
      <c r="D22" s="45">
        <v>12</v>
      </c>
      <c r="E22" s="45">
        <v>1</v>
      </c>
      <c r="F22" s="46" t="s">
        <v>164</v>
      </c>
      <c r="G22" s="47">
        <v>5</v>
      </c>
      <c r="H22" s="181"/>
      <c r="I22" s="44">
        <f>$D$6*'Monday Est.'!E22*'Vehicle Infos'!$L$10</f>
        <v>11.330469333333333</v>
      </c>
      <c r="J22" s="23"/>
      <c r="K22" s="23"/>
      <c r="L22" s="44" t="s">
        <v>165</v>
      </c>
      <c r="M22" s="48">
        <v>18.5</v>
      </c>
      <c r="N22" s="51">
        <v>3</v>
      </c>
      <c r="O22" s="46" t="s">
        <v>166</v>
      </c>
      <c r="P22" s="51">
        <v>6</v>
      </c>
      <c r="Q22" s="181"/>
      <c r="R22" s="23">
        <f>$F$6*'Monday Est.'!N22*'Vehicle Infos'!$L$21</f>
        <v>10.363560857142856</v>
      </c>
      <c r="S22" s="23"/>
      <c r="T22" s="23"/>
      <c r="U22" s="44"/>
      <c r="V22" s="48"/>
      <c r="W22" s="51"/>
      <c r="X22" s="46"/>
      <c r="Y22" s="51"/>
      <c r="Z22" s="57"/>
      <c r="AA22" s="57"/>
      <c r="AB22" s="23"/>
      <c r="AC22" s="23"/>
      <c r="AD22" s="23"/>
      <c r="AE22" s="23"/>
      <c r="AF22" s="23"/>
      <c r="AG22" s="23"/>
      <c r="AH22" s="5"/>
      <c r="AI22" s="1"/>
      <c r="AJ22" s="1"/>
      <c r="AK22" s="1"/>
      <c r="AL22" s="1"/>
      <c r="AM22" s="1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ht="19.5" customHeight="1" x14ac:dyDescent="0.35">
      <c r="A23" s="23"/>
      <c r="B23" s="23"/>
      <c r="C23" s="44" t="s">
        <v>167</v>
      </c>
      <c r="D23" s="45">
        <v>14</v>
      </c>
      <c r="E23" s="45">
        <v>2</v>
      </c>
      <c r="F23" s="46" t="s">
        <v>168</v>
      </c>
      <c r="G23" s="47">
        <v>7</v>
      </c>
      <c r="H23" s="181"/>
      <c r="I23" s="44">
        <f>$D$6*'Monday Est.'!E23*'Vehicle Infos'!$L$10</f>
        <v>22.660938666666667</v>
      </c>
      <c r="J23" s="23"/>
      <c r="K23" s="23"/>
      <c r="L23" s="54" t="s">
        <v>162</v>
      </c>
      <c r="M23" s="49"/>
      <c r="N23" s="45">
        <f>SUM(N16:N22)</f>
        <v>18.5</v>
      </c>
      <c r="O23" s="58"/>
      <c r="P23" s="55">
        <f>SUM(P17:P22)</f>
        <v>30</v>
      </c>
      <c r="Q23" s="59">
        <f>SUM(Q16)</f>
        <v>198.72764999999998</v>
      </c>
      <c r="R23" s="23">
        <f>$F$6*'Monday Est.'!N23*'Vehicle Infos'!$L$21</f>
        <v>63.908625285714272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5"/>
      <c r="AI23" s="5"/>
      <c r="AJ23" s="5"/>
      <c r="AK23" s="5"/>
      <c r="AL23" s="5"/>
      <c r="AM23" s="5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ht="19.5" customHeight="1" x14ac:dyDescent="0.35">
      <c r="A24" s="23"/>
      <c r="B24" s="23"/>
      <c r="C24" s="44" t="s">
        <v>169</v>
      </c>
      <c r="D24" s="45">
        <v>14.5</v>
      </c>
      <c r="E24" s="45">
        <v>0.5</v>
      </c>
      <c r="F24" s="46" t="s">
        <v>170</v>
      </c>
      <c r="G24" s="47">
        <v>3</v>
      </c>
      <c r="H24" s="181"/>
      <c r="I24" s="44">
        <f>$D$6*'Monday Est.'!E24*'Vehicle Infos'!$L$10</f>
        <v>5.6652346666666666</v>
      </c>
      <c r="J24" s="23"/>
      <c r="K24" s="23"/>
      <c r="L24" s="23"/>
      <c r="M24" s="23"/>
      <c r="N24" s="23"/>
      <c r="O24" s="23"/>
      <c r="P24" s="60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ht="19.5" customHeight="1" x14ac:dyDescent="0.35">
      <c r="A25" s="23"/>
      <c r="B25" s="23"/>
      <c r="C25" s="44" t="s">
        <v>171</v>
      </c>
      <c r="D25" s="45">
        <v>15</v>
      </c>
      <c r="E25" s="45">
        <v>0.5</v>
      </c>
      <c r="F25" s="46" t="s">
        <v>172</v>
      </c>
      <c r="G25" s="47">
        <v>1</v>
      </c>
      <c r="H25" s="181"/>
      <c r="I25" s="44">
        <f>$D$6*'Monday Est.'!E25*'Vehicle Infos'!$L$10</f>
        <v>5.6652346666666666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ht="19.5" customHeight="1" x14ac:dyDescent="0.35">
      <c r="A26" s="23"/>
      <c r="B26" s="23"/>
      <c r="C26" s="54" t="s">
        <v>162</v>
      </c>
      <c r="D26" s="49"/>
      <c r="E26" s="45">
        <v>15</v>
      </c>
      <c r="F26" s="58"/>
      <c r="G26" s="47">
        <f>SUM(G16:G25)</f>
        <v>42</v>
      </c>
      <c r="H26" s="61">
        <f>SUM(H16)</f>
        <v>349.8</v>
      </c>
      <c r="I26" s="44">
        <f>$D$6*'Monday Est.'!E26*'Vehicle Infos'!$L$10</f>
        <v>169.95704000000001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ht="19.5" customHeight="1" x14ac:dyDescent="0.35">
      <c r="A27" s="23"/>
      <c r="B27" s="23"/>
      <c r="C27" s="62"/>
      <c r="D27" s="63"/>
      <c r="E27" s="64"/>
      <c r="F27" s="65"/>
      <c r="G27" s="66"/>
      <c r="H27" s="67"/>
      <c r="I27" s="68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5" t="s">
        <v>173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ht="21.75" customHeight="1" x14ac:dyDescent="0.35">
      <c r="A28" s="23"/>
      <c r="B28" s="23"/>
      <c r="C28" s="32" t="s">
        <v>174</v>
      </c>
      <c r="D28" s="69"/>
      <c r="E28" s="69"/>
      <c r="F28" s="69"/>
      <c r="G28" s="69"/>
      <c r="H28" s="69"/>
      <c r="I28" s="69"/>
      <c r="J28" s="23"/>
      <c r="K28" s="23"/>
      <c r="L28" s="32" t="s">
        <v>175</v>
      </c>
      <c r="M28" s="33"/>
      <c r="N28" s="33"/>
      <c r="O28" s="33"/>
      <c r="P28" s="33"/>
      <c r="Q28" s="33"/>
      <c r="R28" s="23"/>
      <c r="S28" s="23"/>
      <c r="T28" s="23"/>
      <c r="U28" s="32" t="s">
        <v>175</v>
      </c>
      <c r="V28" s="33"/>
      <c r="W28" s="33"/>
      <c r="X28" s="33"/>
      <c r="Y28" s="33"/>
      <c r="Z28" s="33"/>
      <c r="AA28" s="23"/>
      <c r="AB28" s="23"/>
      <c r="AC28" s="23"/>
      <c r="AD28" s="23"/>
      <c r="AE28" s="23"/>
      <c r="AF28" s="23"/>
      <c r="AG28" s="23"/>
      <c r="AH28" s="70"/>
      <c r="AI28" s="23">
        <v>1</v>
      </c>
      <c r="AJ28" s="23">
        <f>10-7</f>
        <v>3</v>
      </c>
      <c r="AK28" s="23">
        <f>15-10</f>
        <v>5</v>
      </c>
      <c r="AL28" s="23">
        <f>19-15</f>
        <v>4</v>
      </c>
      <c r="AM28" s="23">
        <f>22-19</f>
        <v>3</v>
      </c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ht="49.5" customHeight="1" x14ac:dyDescent="0.4">
      <c r="A29" s="23"/>
      <c r="B29" s="23"/>
      <c r="C29" s="37" t="s">
        <v>176</v>
      </c>
      <c r="D29" s="38" t="s">
        <v>122</v>
      </c>
      <c r="E29" s="38" t="s">
        <v>129</v>
      </c>
      <c r="F29" s="38" t="s">
        <v>130</v>
      </c>
      <c r="G29" s="38" t="s">
        <v>131</v>
      </c>
      <c r="H29" s="39" t="s">
        <v>126</v>
      </c>
      <c r="I29" s="40" t="s">
        <v>127</v>
      </c>
      <c r="J29" s="23"/>
      <c r="K29" s="23"/>
      <c r="L29" s="71" t="s">
        <v>177</v>
      </c>
      <c r="M29" s="38" t="s">
        <v>122</v>
      </c>
      <c r="N29" s="38" t="s">
        <v>129</v>
      </c>
      <c r="O29" s="38" t="s">
        <v>130</v>
      </c>
      <c r="P29" s="38" t="s">
        <v>131</v>
      </c>
      <c r="Q29" s="41" t="s">
        <v>126</v>
      </c>
      <c r="R29" s="42" t="s">
        <v>127</v>
      </c>
      <c r="S29" s="23"/>
      <c r="T29" s="23"/>
      <c r="U29" s="72" t="s">
        <v>178</v>
      </c>
      <c r="V29" s="38" t="s">
        <v>122</v>
      </c>
      <c r="W29" s="38" t="s">
        <v>129</v>
      </c>
      <c r="X29" s="38" t="s">
        <v>130</v>
      </c>
      <c r="Y29" s="38" t="s">
        <v>131</v>
      </c>
      <c r="Z29" s="41" t="s">
        <v>126</v>
      </c>
      <c r="AA29" s="42" t="s">
        <v>127</v>
      </c>
      <c r="AB29" s="23"/>
      <c r="AC29" s="23"/>
      <c r="AD29" s="23"/>
      <c r="AE29" s="23"/>
      <c r="AF29" s="23"/>
      <c r="AG29" s="23"/>
      <c r="AH29" s="44"/>
      <c r="AI29" s="73" t="s">
        <v>179</v>
      </c>
      <c r="AJ29" s="74" t="s">
        <v>180</v>
      </c>
      <c r="AK29" s="74" t="s">
        <v>113</v>
      </c>
      <c r="AL29" s="74" t="s">
        <v>114</v>
      </c>
      <c r="AM29" s="74" t="s">
        <v>115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ht="19.5" customHeight="1" x14ac:dyDescent="0.35">
      <c r="A30" s="23"/>
      <c r="B30" s="23"/>
      <c r="C30" s="44" t="s">
        <v>133</v>
      </c>
      <c r="D30" s="45">
        <v>0</v>
      </c>
      <c r="E30" s="45">
        <v>0</v>
      </c>
      <c r="F30" s="46" t="s">
        <v>181</v>
      </c>
      <c r="G30" s="47"/>
      <c r="H30" s="180">
        <f>D7*D3*'Vehicle Infos'!K10</f>
        <v>1693.3500000000001</v>
      </c>
      <c r="I30" s="44">
        <f>$D$7*'Monday Est.'!E30*'Vehicle Infos'!$L$10</f>
        <v>0</v>
      </c>
      <c r="J30" s="23"/>
      <c r="K30" s="23"/>
      <c r="L30" s="44" t="s">
        <v>135</v>
      </c>
      <c r="M30" s="48">
        <v>0</v>
      </c>
      <c r="N30" s="47">
        <v>0</v>
      </c>
      <c r="O30" s="46" t="s">
        <v>182</v>
      </c>
      <c r="P30" s="47"/>
      <c r="Q30" s="183">
        <f>F7*F3*'Vehicle Infos'!K21</f>
        <v>815.82929999999988</v>
      </c>
      <c r="R30" s="23">
        <f>$F$7*'Monday Est.'!N30*'Vehicle Infos'!$L$21</f>
        <v>0</v>
      </c>
      <c r="S30" s="23"/>
      <c r="T30" s="23"/>
      <c r="U30" s="44" t="s">
        <v>136</v>
      </c>
      <c r="V30" s="48">
        <v>0</v>
      </c>
      <c r="W30" s="47">
        <v>0</v>
      </c>
      <c r="X30" s="46" t="s">
        <v>183</v>
      </c>
      <c r="Y30" s="47">
        <v>0</v>
      </c>
      <c r="Z30" s="183">
        <f>G7*G3*'Vehicle Infos'!K29</f>
        <v>514.79999999999995</v>
      </c>
      <c r="AA30" s="49">
        <f>$G$7*'Monday Est.'!W30*'Vehicle Infos'!$L$29</f>
        <v>0</v>
      </c>
      <c r="AB30" s="23"/>
      <c r="AC30" s="23"/>
      <c r="AD30" s="23"/>
      <c r="AE30" s="23"/>
      <c r="AF30" s="23"/>
      <c r="AG30" s="23"/>
      <c r="AH30" s="44" t="s">
        <v>184</v>
      </c>
      <c r="AI30" s="47">
        <f>G26</f>
        <v>42</v>
      </c>
      <c r="AJ30" s="60">
        <f>G40</f>
        <v>62</v>
      </c>
      <c r="AK30" s="60">
        <f>G54</f>
        <v>36</v>
      </c>
      <c r="AL30" s="60">
        <f>G69</f>
        <v>66</v>
      </c>
      <c r="AM30" s="60">
        <f>G83</f>
        <v>56</v>
      </c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ht="19.5" customHeight="1" x14ac:dyDescent="0.35">
      <c r="A31" s="23"/>
      <c r="B31" s="23"/>
      <c r="C31" s="44" t="s">
        <v>137</v>
      </c>
      <c r="D31" s="45">
        <v>7.5</v>
      </c>
      <c r="E31" s="45">
        <v>7.5</v>
      </c>
      <c r="F31" s="46" t="s">
        <v>185</v>
      </c>
      <c r="G31" s="47">
        <v>7</v>
      </c>
      <c r="H31" s="181"/>
      <c r="I31" s="44">
        <f>$D$7*'Monday Est.'!E31*'Vehicle Infos'!$L$10</f>
        <v>411.37329</v>
      </c>
      <c r="J31" s="23"/>
      <c r="K31" s="23"/>
      <c r="L31" s="44" t="s">
        <v>139</v>
      </c>
      <c r="M31" s="48">
        <v>1</v>
      </c>
      <c r="N31" s="47">
        <v>1</v>
      </c>
      <c r="O31" s="46" t="s">
        <v>186</v>
      </c>
      <c r="P31" s="47">
        <v>2</v>
      </c>
      <c r="Q31" s="181"/>
      <c r="R31" s="23">
        <f>$F$7*'Monday Est.'!N31*'Vehicle Infos'!$L$21</f>
        <v>14.181714857142854</v>
      </c>
      <c r="S31" s="23"/>
      <c r="T31" s="23"/>
      <c r="U31" s="44" t="s">
        <v>141</v>
      </c>
      <c r="V31" s="48">
        <v>3</v>
      </c>
      <c r="W31" s="51">
        <v>3</v>
      </c>
      <c r="X31" s="46" t="s">
        <v>187</v>
      </c>
      <c r="Y31" s="47">
        <v>6</v>
      </c>
      <c r="Z31" s="181"/>
      <c r="AA31" s="49">
        <f>$G$7*'Monday Est.'!W31*'Vehicle Infos'!$L$29</f>
        <v>32.582582500000001</v>
      </c>
      <c r="AB31" s="23"/>
      <c r="AC31" s="23"/>
      <c r="AD31" s="23"/>
      <c r="AE31" s="23"/>
      <c r="AF31" s="23"/>
      <c r="AG31" s="23"/>
      <c r="AH31" s="44" t="s">
        <v>188</v>
      </c>
      <c r="AI31" s="60">
        <f>'Tuesday Est.'!G41</f>
        <v>60</v>
      </c>
      <c r="AJ31" s="60">
        <f>'Tuesday Est.'!G56</f>
        <v>35</v>
      </c>
      <c r="AK31" s="60">
        <f>'Tuesday Est.'!G56</f>
        <v>35</v>
      </c>
      <c r="AL31" s="60">
        <f>'Tuesday Est.'!G71</f>
        <v>63</v>
      </c>
      <c r="AM31" s="60">
        <f>'Tuesday Est.'!G86</f>
        <v>51</v>
      </c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ht="19.5" customHeight="1" x14ac:dyDescent="0.35">
      <c r="A32" s="23"/>
      <c r="B32" s="23"/>
      <c r="C32" s="44" t="s">
        <v>143</v>
      </c>
      <c r="D32" s="45">
        <v>8</v>
      </c>
      <c r="E32" s="45">
        <v>0.5</v>
      </c>
      <c r="F32" s="46" t="s">
        <v>189</v>
      </c>
      <c r="G32" s="47">
        <v>3</v>
      </c>
      <c r="H32" s="181"/>
      <c r="I32" s="44">
        <f>$D$7*'Monday Est.'!E32*'Vehicle Infos'!$L$10</f>
        <v>27.424886000000001</v>
      </c>
      <c r="J32" s="23"/>
      <c r="K32" s="23"/>
      <c r="L32" s="44" t="s">
        <v>145</v>
      </c>
      <c r="M32" s="48">
        <v>2.5</v>
      </c>
      <c r="N32" s="51">
        <v>1.5</v>
      </c>
      <c r="O32" s="46" t="s">
        <v>190</v>
      </c>
      <c r="P32" s="47">
        <v>3.5</v>
      </c>
      <c r="Q32" s="181"/>
      <c r="R32" s="23">
        <f>$F$7*'Monday Est.'!N32*'Vehicle Infos'!$L$21</f>
        <v>21.272572285714283</v>
      </c>
      <c r="S32" s="23"/>
      <c r="T32" s="23"/>
      <c r="U32" s="44" t="s">
        <v>146</v>
      </c>
      <c r="V32" s="48">
        <v>5.5</v>
      </c>
      <c r="W32" s="51">
        <v>2.5</v>
      </c>
      <c r="X32" s="46" t="s">
        <v>191</v>
      </c>
      <c r="Y32" s="47">
        <v>8</v>
      </c>
      <c r="Z32" s="181"/>
      <c r="AA32" s="49">
        <f>$G$7*'Monday Est.'!W32*'Vehicle Infos'!$L$29</f>
        <v>27.152152083333334</v>
      </c>
      <c r="AB32" s="23"/>
      <c r="AC32" s="23"/>
      <c r="AD32" s="23"/>
      <c r="AE32" s="23"/>
      <c r="AF32" s="23"/>
      <c r="AG32" s="23"/>
      <c r="AH32" s="44" t="s">
        <v>192</v>
      </c>
      <c r="AI32" s="60">
        <f>'Wednesday Est.'!G26</f>
        <v>37</v>
      </c>
      <c r="AJ32" s="60">
        <f>'Wednesday Est.'!G41</f>
        <v>60</v>
      </c>
      <c r="AK32" s="60">
        <f>'Wednesday Est.'!G56</f>
        <v>34</v>
      </c>
      <c r="AL32" s="60">
        <f>'Wednesday Est.'!G71</f>
        <v>61</v>
      </c>
      <c r="AM32" s="60">
        <f>'Tuesday Est.'!G86</f>
        <v>51</v>
      </c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ht="19.5" customHeight="1" x14ac:dyDescent="0.35">
      <c r="A33" s="23"/>
      <c r="B33" s="23"/>
      <c r="C33" s="44" t="s">
        <v>148</v>
      </c>
      <c r="D33" s="45">
        <v>9</v>
      </c>
      <c r="E33" s="45">
        <v>1</v>
      </c>
      <c r="F33" s="46" t="s">
        <v>193</v>
      </c>
      <c r="G33" s="47">
        <v>8</v>
      </c>
      <c r="H33" s="181"/>
      <c r="I33" s="44">
        <f>$D$7*'Monday Est.'!E33*'Vehicle Infos'!$L$10</f>
        <v>54.849772000000002</v>
      </c>
      <c r="J33" s="23"/>
      <c r="K33" s="23"/>
      <c r="L33" s="44" t="s">
        <v>150</v>
      </c>
      <c r="M33" s="48">
        <v>9</v>
      </c>
      <c r="N33" s="51">
        <v>6.5</v>
      </c>
      <c r="O33" s="46" t="s">
        <v>194</v>
      </c>
      <c r="P33" s="47">
        <v>9</v>
      </c>
      <c r="Q33" s="181"/>
      <c r="R33" s="23">
        <f>$F$7*'Monday Est.'!N33*'Vehicle Infos'!$L$21</f>
        <v>92.181146571428556</v>
      </c>
      <c r="S33" s="23"/>
      <c r="T33" s="23"/>
      <c r="U33" s="44" t="s">
        <v>151</v>
      </c>
      <c r="V33" s="48">
        <v>7.5</v>
      </c>
      <c r="W33" s="51">
        <v>2</v>
      </c>
      <c r="X33" s="46" t="s">
        <v>195</v>
      </c>
      <c r="Y33" s="47">
        <v>12</v>
      </c>
      <c r="Z33" s="181"/>
      <c r="AA33" s="49">
        <f>$G$7*'Monday Est.'!W33*'Vehicle Infos'!$L$29</f>
        <v>21.721721666666667</v>
      </c>
      <c r="AB33" s="23"/>
      <c r="AC33" s="23"/>
      <c r="AD33" s="23"/>
      <c r="AE33" s="23"/>
      <c r="AF33" s="23"/>
      <c r="AG33" s="23"/>
      <c r="AH33" s="44" t="s">
        <v>196</v>
      </c>
      <c r="AI33" s="60">
        <f>'Thursday Est.'!G26</f>
        <v>36</v>
      </c>
      <c r="AJ33" s="60">
        <f>'Thursday Est.'!G41</f>
        <v>55</v>
      </c>
      <c r="AK33" s="60">
        <f>'Thursday Est.'!G56</f>
        <v>31</v>
      </c>
      <c r="AL33" s="60">
        <f>'Thursday Est.'!G71</f>
        <v>46</v>
      </c>
      <c r="AM33" s="60">
        <f>'Thursday Est.'!G86</f>
        <v>34</v>
      </c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ht="19.5" customHeight="1" x14ac:dyDescent="0.35">
      <c r="A34" s="23"/>
      <c r="B34" s="23"/>
      <c r="C34" s="44" t="s">
        <v>153</v>
      </c>
      <c r="D34" s="45">
        <v>10</v>
      </c>
      <c r="E34" s="45">
        <v>1</v>
      </c>
      <c r="F34" s="46" t="s">
        <v>197</v>
      </c>
      <c r="G34" s="47">
        <v>7</v>
      </c>
      <c r="H34" s="181"/>
      <c r="I34" s="44">
        <f>$D$7*'Monday Est.'!E34*'Vehicle Infos'!$L$10</f>
        <v>54.849772000000002</v>
      </c>
      <c r="J34" s="23"/>
      <c r="K34" s="23"/>
      <c r="L34" s="44" t="s">
        <v>155</v>
      </c>
      <c r="M34" s="48">
        <v>12</v>
      </c>
      <c r="N34" s="51">
        <v>3</v>
      </c>
      <c r="O34" s="46" t="s">
        <v>198</v>
      </c>
      <c r="P34" s="47">
        <v>9</v>
      </c>
      <c r="Q34" s="181"/>
      <c r="R34" s="23">
        <f>$F$7*'Monday Est.'!N34*'Vehicle Infos'!$L$21</f>
        <v>42.545144571428565</v>
      </c>
      <c r="S34" s="23"/>
      <c r="T34" s="23"/>
      <c r="U34" s="44" t="s">
        <v>156</v>
      </c>
      <c r="V34" s="48">
        <v>12</v>
      </c>
      <c r="W34" s="51">
        <v>4.5</v>
      </c>
      <c r="X34" s="46" t="s">
        <v>199</v>
      </c>
      <c r="Y34" s="47">
        <v>26</v>
      </c>
      <c r="Z34" s="181"/>
      <c r="AA34" s="49">
        <f>$G$7*'Monday Est.'!W34*'Vehicle Infos'!$L$29</f>
        <v>48.873873750000001</v>
      </c>
      <c r="AB34" s="23"/>
      <c r="AC34" s="23"/>
      <c r="AD34" s="23"/>
      <c r="AE34" s="23"/>
      <c r="AF34" s="23"/>
      <c r="AG34" s="23"/>
      <c r="AH34" s="44" t="s">
        <v>200</v>
      </c>
      <c r="AI34" s="60">
        <f>'Friday Est'!G26</f>
        <v>30</v>
      </c>
      <c r="AJ34" s="60">
        <f>'Friday Est'!G41</f>
        <v>49</v>
      </c>
      <c r="AK34" s="60">
        <f>'Friday Est'!G56</f>
        <v>33</v>
      </c>
      <c r="AL34" s="60">
        <f>'Friday Est'!G71</f>
        <v>40</v>
      </c>
      <c r="AM34" s="60">
        <f>'Friday Est'!G86</f>
        <v>32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ht="19.5" customHeight="1" x14ac:dyDescent="0.35">
      <c r="A35" s="23"/>
      <c r="B35" s="23"/>
      <c r="C35" s="44" t="s">
        <v>158</v>
      </c>
      <c r="D35" s="45">
        <v>11</v>
      </c>
      <c r="E35" s="45">
        <v>1</v>
      </c>
      <c r="F35" s="46" t="s">
        <v>201</v>
      </c>
      <c r="G35" s="47">
        <v>15</v>
      </c>
      <c r="H35" s="181"/>
      <c r="I35" s="44">
        <f>$D$7*'Monday Est.'!E35*'Vehicle Infos'!$L$10</f>
        <v>54.849772000000002</v>
      </c>
      <c r="J35" s="23"/>
      <c r="K35" s="23"/>
      <c r="L35" s="44" t="s">
        <v>160</v>
      </c>
      <c r="M35" s="48">
        <v>15.5</v>
      </c>
      <c r="N35" s="51">
        <v>3.5</v>
      </c>
      <c r="O35" s="46" t="s">
        <v>202</v>
      </c>
      <c r="P35" s="47">
        <v>12</v>
      </c>
      <c r="Q35" s="181"/>
      <c r="R35" s="23">
        <f>$F$7*'Monday Est.'!N35*'Vehicle Infos'!$L$21</f>
        <v>49.636001999999991</v>
      </c>
      <c r="S35" s="23"/>
      <c r="T35" s="23"/>
      <c r="U35" s="54" t="s">
        <v>162</v>
      </c>
      <c r="V35" s="48"/>
      <c r="W35" s="51">
        <f>SUM(W31:W34)</f>
        <v>12</v>
      </c>
      <c r="X35" s="46"/>
      <c r="Y35" s="75">
        <f>SUM(Y31:Y34)</f>
        <v>52</v>
      </c>
      <c r="Z35" s="56">
        <f>SUM(Z30)</f>
        <v>514.79999999999995</v>
      </c>
      <c r="AA35" s="49">
        <f>$G$7*'Monday Est.'!W35*'Vehicle Infos'!$L$29</f>
        <v>130.33033</v>
      </c>
      <c r="AB35" s="23"/>
      <c r="AC35" s="23"/>
      <c r="AD35" s="23"/>
      <c r="AE35" s="23"/>
      <c r="AF35" s="23"/>
      <c r="AG35" s="23"/>
      <c r="AH35" s="44" t="s">
        <v>203</v>
      </c>
      <c r="AI35" s="60">
        <f>'Saturday Est.'!G26</f>
        <v>33</v>
      </c>
      <c r="AJ35" s="60">
        <f>'Saturday Est.'!G42</f>
        <v>42</v>
      </c>
      <c r="AK35" s="60">
        <f>'Saturday Est.'!G58</f>
        <v>35</v>
      </c>
      <c r="AL35" s="60">
        <f>'Saturday Est.'!G74</f>
        <v>41</v>
      </c>
      <c r="AM35" s="60">
        <f>'Saturday Est.'!G90</f>
        <v>33</v>
      </c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ht="19.5" customHeight="1" x14ac:dyDescent="0.35">
      <c r="A36" s="23"/>
      <c r="B36" s="23"/>
      <c r="C36" s="44" t="s">
        <v>163</v>
      </c>
      <c r="D36" s="45">
        <v>12</v>
      </c>
      <c r="E36" s="45">
        <v>1</v>
      </c>
      <c r="F36" s="46" t="s">
        <v>204</v>
      </c>
      <c r="G36" s="47">
        <v>6</v>
      </c>
      <c r="H36" s="181"/>
      <c r="I36" s="44">
        <f>$D$7*'Monday Est.'!E36*'Vehicle Infos'!$L$10</f>
        <v>54.849772000000002</v>
      </c>
      <c r="J36" s="23"/>
      <c r="K36" s="23"/>
      <c r="L36" s="44" t="s">
        <v>165</v>
      </c>
      <c r="M36" s="48">
        <v>18.5</v>
      </c>
      <c r="N36" s="51">
        <v>3</v>
      </c>
      <c r="O36" s="46" t="s">
        <v>205</v>
      </c>
      <c r="P36" s="47">
        <v>14</v>
      </c>
      <c r="Q36" s="181"/>
      <c r="R36" s="23">
        <f>$F$7*'Monday Est.'!N36*'Vehicle Infos'!$L$21</f>
        <v>42.545144571428565</v>
      </c>
      <c r="S36" s="23"/>
      <c r="T36" s="23"/>
      <c r="U36" s="23"/>
      <c r="V36" s="23"/>
      <c r="W36" s="23"/>
      <c r="X36" s="23"/>
      <c r="Y36" s="50"/>
      <c r="Z36" s="57"/>
      <c r="AA36" s="57"/>
      <c r="AB36" s="23"/>
      <c r="AC36" s="23"/>
      <c r="AD36" s="23"/>
      <c r="AE36" s="23"/>
      <c r="AF36" s="23"/>
      <c r="AG36" s="23"/>
      <c r="AH36" s="44" t="s">
        <v>206</v>
      </c>
      <c r="AI36" s="60">
        <f>'Sunday Est.'!G26</f>
        <v>25</v>
      </c>
      <c r="AJ36" s="60">
        <f>'Sunday Est.'!G41</f>
        <v>39</v>
      </c>
      <c r="AK36" s="60">
        <f>'Sunday Est.'!G56</f>
        <v>30</v>
      </c>
      <c r="AL36" s="60">
        <f>'Sunday Est.'!G71</f>
        <v>35</v>
      </c>
      <c r="AM36" s="60">
        <f>'Sunday Est.'!G86</f>
        <v>31</v>
      </c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ht="19.5" customHeight="1" x14ac:dyDescent="0.35">
      <c r="A37" s="23"/>
      <c r="B37" s="23"/>
      <c r="C37" s="44" t="s">
        <v>167</v>
      </c>
      <c r="D37" s="45">
        <v>14</v>
      </c>
      <c r="E37" s="45">
        <v>2</v>
      </c>
      <c r="F37" s="46" t="s">
        <v>207</v>
      </c>
      <c r="G37" s="47">
        <v>11</v>
      </c>
      <c r="H37" s="181"/>
      <c r="I37" s="44">
        <f>$D$7*'Monday Est.'!E37*'Vehicle Infos'!$L$10</f>
        <v>109.699544</v>
      </c>
      <c r="J37" s="23"/>
      <c r="K37" s="23"/>
      <c r="L37" s="54" t="s">
        <v>162</v>
      </c>
      <c r="M37" s="49"/>
      <c r="N37" s="45">
        <f>SUM(N30:N36)</f>
        <v>18.5</v>
      </c>
      <c r="O37" s="58"/>
      <c r="P37" s="75">
        <f>SUM(P31:P36)</f>
        <v>49.5</v>
      </c>
      <c r="Q37" s="56">
        <f>SUM(Q30)</f>
        <v>815.82929999999988</v>
      </c>
      <c r="R37" s="23">
        <f>$F$7*'Monday Est.'!N37*'Vehicle Infos'!$L$21</f>
        <v>262.3617248571428</v>
      </c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44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ht="19.5" customHeight="1" x14ac:dyDescent="0.35">
      <c r="A38" s="23"/>
      <c r="B38" s="23"/>
      <c r="C38" s="44" t="s">
        <v>169</v>
      </c>
      <c r="D38" s="45">
        <v>14.5</v>
      </c>
      <c r="E38" s="45">
        <v>0.5</v>
      </c>
      <c r="F38" s="46" t="s">
        <v>208</v>
      </c>
      <c r="G38" s="47">
        <v>3</v>
      </c>
      <c r="H38" s="181"/>
      <c r="I38" s="44">
        <f>$D$7*'Monday Est.'!E38*'Vehicle Infos'!$L$10</f>
        <v>27.424886000000001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44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ht="19.5" customHeight="1" x14ac:dyDescent="0.35">
      <c r="A39" s="23"/>
      <c r="B39" s="23"/>
      <c r="C39" s="44" t="s">
        <v>171</v>
      </c>
      <c r="D39" s="45">
        <v>15</v>
      </c>
      <c r="E39" s="45">
        <v>0.5</v>
      </c>
      <c r="F39" s="46" t="s">
        <v>209</v>
      </c>
      <c r="G39" s="47">
        <v>2</v>
      </c>
      <c r="H39" s="181"/>
      <c r="I39" s="44">
        <f>$D$7*'Monday Est.'!E39*'Vehicle Infos'!$L$10</f>
        <v>27.424886000000001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44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ht="19.5" customHeight="1" x14ac:dyDescent="0.35">
      <c r="A40" s="23"/>
      <c r="B40" s="23"/>
      <c r="C40" s="54" t="s">
        <v>162</v>
      </c>
      <c r="D40" s="49"/>
      <c r="E40" s="76">
        <v>15</v>
      </c>
      <c r="F40" s="58"/>
      <c r="G40" s="75">
        <f>SUM(G31:G39)</f>
        <v>62</v>
      </c>
      <c r="H40" s="77">
        <f>H30</f>
        <v>1693.3500000000001</v>
      </c>
      <c r="I40" s="44">
        <f>$D$7*'Monday Est.'!E40*'Vehicle Infos'!$L$10</f>
        <v>822.74657999999999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ht="14.4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ht="24" customHeight="1" x14ac:dyDescent="0.35">
      <c r="A42" s="23"/>
      <c r="B42" s="23"/>
      <c r="C42" s="78" t="s">
        <v>210</v>
      </c>
      <c r="D42" s="79"/>
      <c r="E42" s="79"/>
      <c r="F42" s="79"/>
      <c r="G42" s="79"/>
      <c r="H42" s="79"/>
      <c r="I42" s="79"/>
      <c r="J42" s="23"/>
      <c r="K42" s="23"/>
      <c r="L42" s="32" t="s">
        <v>211</v>
      </c>
      <c r="M42" s="33"/>
      <c r="N42" s="33"/>
      <c r="O42" s="33"/>
      <c r="P42" s="33"/>
      <c r="Q42" s="33"/>
      <c r="R42" s="23"/>
      <c r="S42" s="23"/>
      <c r="T42" s="23"/>
      <c r="U42" s="32" t="s">
        <v>211</v>
      </c>
      <c r="V42" s="33"/>
      <c r="W42" s="33"/>
      <c r="X42" s="33"/>
      <c r="Y42" s="33"/>
      <c r="Z42" s="33"/>
      <c r="AA42" s="23"/>
      <c r="AB42" s="23"/>
      <c r="AC42" s="23"/>
      <c r="AD42" s="23"/>
      <c r="AE42" s="23"/>
      <c r="AF42" s="23"/>
      <c r="AG42" s="23"/>
      <c r="AH42" s="26" t="s">
        <v>212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ht="51" customHeight="1" x14ac:dyDescent="0.4">
      <c r="A43" s="23"/>
      <c r="B43" s="23"/>
      <c r="C43" s="37" t="s">
        <v>176</v>
      </c>
      <c r="D43" s="38" t="s">
        <v>122</v>
      </c>
      <c r="E43" s="38" t="s">
        <v>129</v>
      </c>
      <c r="F43" s="38" t="s">
        <v>130</v>
      </c>
      <c r="G43" s="38" t="s">
        <v>131</v>
      </c>
      <c r="H43" s="39" t="s">
        <v>126</v>
      </c>
      <c r="I43" s="40" t="s">
        <v>127</v>
      </c>
      <c r="J43" s="23"/>
      <c r="K43" s="23"/>
      <c r="L43" s="71" t="s">
        <v>177</v>
      </c>
      <c r="M43" s="38" t="s">
        <v>122</v>
      </c>
      <c r="N43" s="38" t="s">
        <v>129</v>
      </c>
      <c r="O43" s="38" t="s">
        <v>130</v>
      </c>
      <c r="P43" s="38" t="s">
        <v>131</v>
      </c>
      <c r="Q43" s="41" t="s">
        <v>126</v>
      </c>
      <c r="R43" s="42" t="s">
        <v>127</v>
      </c>
      <c r="S43" s="23"/>
      <c r="T43" s="23"/>
      <c r="U43" s="72" t="s">
        <v>178</v>
      </c>
      <c r="V43" s="38" t="s">
        <v>122</v>
      </c>
      <c r="W43" s="38" t="s">
        <v>129</v>
      </c>
      <c r="X43" s="38" t="s">
        <v>130</v>
      </c>
      <c r="Y43" s="38" t="s">
        <v>131</v>
      </c>
      <c r="Z43" s="41" t="s">
        <v>126</v>
      </c>
      <c r="AA43" s="42" t="s">
        <v>127</v>
      </c>
      <c r="AB43" s="23"/>
      <c r="AC43" s="23"/>
      <c r="AD43" s="23"/>
      <c r="AE43" s="23"/>
      <c r="AF43" s="23"/>
      <c r="AG43" s="23"/>
      <c r="AH43" s="44"/>
      <c r="AI43" s="73" t="s">
        <v>179</v>
      </c>
      <c r="AJ43" s="74" t="s">
        <v>180</v>
      </c>
      <c r="AK43" s="74" t="s">
        <v>113</v>
      </c>
      <c r="AL43" s="74" t="s">
        <v>114</v>
      </c>
      <c r="AM43" s="74" t="s">
        <v>115</v>
      </c>
      <c r="AN43" s="23" t="s">
        <v>213</v>
      </c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ht="19.5" customHeight="1" x14ac:dyDescent="0.35">
      <c r="A44" s="23"/>
      <c r="B44" s="23"/>
      <c r="C44" s="44" t="s">
        <v>133</v>
      </c>
      <c r="D44" s="45">
        <v>0</v>
      </c>
      <c r="E44" s="45">
        <v>0</v>
      </c>
      <c r="F44" s="46" t="s">
        <v>214</v>
      </c>
      <c r="G44" s="47"/>
      <c r="H44" s="180">
        <f>D8*D3*'Vehicle Infos'!K10</f>
        <v>3211.8</v>
      </c>
      <c r="I44" s="44">
        <f>$D$8*'Monday Est.'!E44*'Vehicle Infos'!$L$10</f>
        <v>0</v>
      </c>
      <c r="J44" s="23"/>
      <c r="K44" s="23"/>
      <c r="L44" s="44" t="s">
        <v>135</v>
      </c>
      <c r="M44" s="48">
        <v>0</v>
      </c>
      <c r="N44" s="47">
        <v>0</v>
      </c>
      <c r="O44" s="46" t="s">
        <v>215</v>
      </c>
      <c r="P44" s="47"/>
      <c r="Q44" s="183">
        <f>F8*F3*'Vehicle Infos'!K21</f>
        <v>951.80084999999997</v>
      </c>
      <c r="R44" s="23">
        <f>$F$8*'Monday Est.'!N44*'Vehicle Infos'!$L$21</f>
        <v>0</v>
      </c>
      <c r="S44" s="23"/>
      <c r="T44" s="23"/>
      <c r="U44" s="44" t="s">
        <v>136</v>
      </c>
      <c r="V44" s="48">
        <v>0</v>
      </c>
      <c r="W44" s="47">
        <v>0</v>
      </c>
      <c r="X44" s="46" t="s">
        <v>216</v>
      </c>
      <c r="Y44" s="47">
        <v>0</v>
      </c>
      <c r="Z44" s="183">
        <f>G8*G3*'Vehicle Infos'!K29</f>
        <v>483.11999999999995</v>
      </c>
      <c r="AA44" s="49">
        <f>$G$8*'Monday Est.'!W44*'Vehicle Infos'!$L$29</f>
        <v>0</v>
      </c>
      <c r="AB44" s="23"/>
      <c r="AC44" s="23"/>
      <c r="AD44" s="23"/>
      <c r="AE44" s="23"/>
      <c r="AF44" s="23"/>
      <c r="AG44" s="186" t="s">
        <v>102</v>
      </c>
      <c r="AH44" s="44" t="s">
        <v>1</v>
      </c>
      <c r="AI44" s="80">
        <f>H16</f>
        <v>349.8</v>
      </c>
      <c r="AJ44" s="81">
        <f>H30</f>
        <v>1693.3500000000001</v>
      </c>
      <c r="AK44" s="81">
        <f>H44</f>
        <v>3211.8</v>
      </c>
      <c r="AL44" s="81">
        <f>H59</f>
        <v>1701.3000000000002</v>
      </c>
      <c r="AM44" s="81">
        <f>H73</f>
        <v>1510.5</v>
      </c>
      <c r="AN44" s="81">
        <f t="shared" ref="AN44:AN49" si="0">SUM(AI44:AM44)</f>
        <v>8466.75</v>
      </c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ht="19.5" customHeight="1" x14ac:dyDescent="0.35">
      <c r="A45" s="23"/>
      <c r="B45" s="23"/>
      <c r="C45" s="44" t="s">
        <v>137</v>
      </c>
      <c r="D45" s="45">
        <v>7.5</v>
      </c>
      <c r="E45" s="45">
        <v>7.5</v>
      </c>
      <c r="F45" s="46" t="s">
        <v>217</v>
      </c>
      <c r="G45" s="47">
        <v>7</v>
      </c>
      <c r="H45" s="181"/>
      <c r="I45" s="44">
        <f>$D$8*'Monday Est.'!E45*'Vehicle Infos'!$L$10</f>
        <v>780.25732000000005</v>
      </c>
      <c r="J45" s="23"/>
      <c r="K45" s="23"/>
      <c r="L45" s="44" t="s">
        <v>139</v>
      </c>
      <c r="M45" s="48">
        <v>1</v>
      </c>
      <c r="N45" s="47">
        <v>1</v>
      </c>
      <c r="O45" s="46" t="s">
        <v>218</v>
      </c>
      <c r="P45" s="47">
        <v>2</v>
      </c>
      <c r="Q45" s="181"/>
      <c r="R45" s="23">
        <f>$F$8*'Monday Est.'!N45*'Vehicle Infos'!$L$21</f>
        <v>16.545333999999997</v>
      </c>
      <c r="S45" s="23"/>
      <c r="T45" s="23"/>
      <c r="U45" s="44" t="s">
        <v>141</v>
      </c>
      <c r="V45" s="48">
        <v>3</v>
      </c>
      <c r="W45" s="51">
        <v>3</v>
      </c>
      <c r="X45" s="46" t="s">
        <v>219</v>
      </c>
      <c r="Y45" s="47">
        <v>5</v>
      </c>
      <c r="Z45" s="181"/>
      <c r="AA45" s="49">
        <f>$G$8*'Monday Est.'!W45*'Vehicle Infos'!$L$29</f>
        <v>30.577500500000003</v>
      </c>
      <c r="AB45" s="23"/>
      <c r="AC45" s="23"/>
      <c r="AD45" s="23"/>
      <c r="AE45" s="23"/>
      <c r="AF45" s="23"/>
      <c r="AG45" s="187"/>
      <c r="AH45" s="44" t="s">
        <v>2</v>
      </c>
      <c r="AI45" s="60">
        <f>I26</f>
        <v>169.95704000000001</v>
      </c>
      <c r="AJ45" s="60">
        <f>I40</f>
        <v>822.74657999999999</v>
      </c>
      <c r="AK45" s="60">
        <f>I54</f>
        <v>178.444849084</v>
      </c>
      <c r="AL45" s="60">
        <f>I69</f>
        <v>826.60924</v>
      </c>
      <c r="AM45" s="60">
        <f>I83</f>
        <v>733.90539999999999</v>
      </c>
      <c r="AN45" s="81">
        <f t="shared" si="0"/>
        <v>2731.6631090840001</v>
      </c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9.5" customHeight="1" x14ac:dyDescent="0.35">
      <c r="A46" s="23"/>
      <c r="B46" s="23"/>
      <c r="C46" s="44" t="s">
        <v>143</v>
      </c>
      <c r="D46" s="45">
        <v>8</v>
      </c>
      <c r="E46" s="45">
        <v>0.5</v>
      </c>
      <c r="F46" s="46" t="s">
        <v>220</v>
      </c>
      <c r="G46" s="47">
        <v>2</v>
      </c>
      <c r="H46" s="181"/>
      <c r="I46" s="44">
        <f>$D$8*'Monday Est.'!E46*'Vehicle Infos'!$L$10</f>
        <v>52.01715466666667</v>
      </c>
      <c r="J46" s="23"/>
      <c r="K46" s="23"/>
      <c r="L46" s="44" t="s">
        <v>145</v>
      </c>
      <c r="M46" s="48">
        <v>2.5</v>
      </c>
      <c r="N46" s="51">
        <v>1.5</v>
      </c>
      <c r="O46" s="46" t="s">
        <v>221</v>
      </c>
      <c r="P46" s="47">
        <v>4</v>
      </c>
      <c r="Q46" s="181"/>
      <c r="R46" s="23">
        <f>$F$8*'Monday Est.'!N46*'Vehicle Infos'!$L$21</f>
        <v>24.818000999999995</v>
      </c>
      <c r="S46" s="23"/>
      <c r="T46" s="23"/>
      <c r="U46" s="44" t="s">
        <v>146</v>
      </c>
      <c r="V46" s="48">
        <v>5.5</v>
      </c>
      <c r="W46" s="51">
        <v>2.5</v>
      </c>
      <c r="X46" s="46" t="s">
        <v>222</v>
      </c>
      <c r="Y46" s="47">
        <v>7</v>
      </c>
      <c r="Z46" s="181"/>
      <c r="AA46" s="49">
        <f>$G$8*'Monday Est.'!W46*'Vehicle Infos'!$L$29</f>
        <v>25.481250416666668</v>
      </c>
      <c r="AB46" s="23"/>
      <c r="AC46" s="23"/>
      <c r="AD46" s="23"/>
      <c r="AE46" s="23"/>
      <c r="AF46" s="23"/>
      <c r="AG46" s="186" t="s">
        <v>103</v>
      </c>
      <c r="AH46" s="44" t="s">
        <v>1</v>
      </c>
      <c r="AI46" s="60">
        <f>Q16</f>
        <v>198.72764999999998</v>
      </c>
      <c r="AJ46" s="60">
        <f>Q30</f>
        <v>815.82929999999988</v>
      </c>
      <c r="AK46" s="60">
        <f>Q44</f>
        <v>951.80084999999997</v>
      </c>
      <c r="AL46" s="60">
        <f>Q59</f>
        <v>920.42279999999982</v>
      </c>
      <c r="AM46" s="60">
        <f>Q73</f>
        <v>355.61789999999996</v>
      </c>
      <c r="AN46" s="81">
        <f t="shared" si="0"/>
        <v>3242.3984999999993</v>
      </c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ht="19.5" customHeight="1" x14ac:dyDescent="0.35">
      <c r="A47" s="23"/>
      <c r="B47" s="23"/>
      <c r="C47" s="44" t="s">
        <v>148</v>
      </c>
      <c r="D47" s="45">
        <v>9</v>
      </c>
      <c r="E47" s="45">
        <v>1</v>
      </c>
      <c r="F47" s="46" t="s">
        <v>223</v>
      </c>
      <c r="G47" s="47">
        <v>4</v>
      </c>
      <c r="H47" s="181"/>
      <c r="I47" s="44">
        <f>$D$8*'Monday Est.'!E47*'Vehicle Infos'!$L$10</f>
        <v>104.03430933333334</v>
      </c>
      <c r="J47" s="23"/>
      <c r="K47" s="23"/>
      <c r="L47" s="44" t="s">
        <v>150</v>
      </c>
      <c r="M47" s="48">
        <v>9</v>
      </c>
      <c r="N47" s="51">
        <v>6.5</v>
      </c>
      <c r="O47" s="46" t="s">
        <v>224</v>
      </c>
      <c r="P47" s="47">
        <v>9</v>
      </c>
      <c r="Q47" s="181"/>
      <c r="R47" s="23">
        <f>$F$8*'Monday Est.'!N47*'Vehicle Infos'!$L$21</f>
        <v>107.54467099999998</v>
      </c>
      <c r="S47" s="23"/>
      <c r="T47" s="23"/>
      <c r="U47" s="44" t="s">
        <v>151</v>
      </c>
      <c r="V47" s="48">
        <v>7.5</v>
      </c>
      <c r="W47" s="51">
        <v>2</v>
      </c>
      <c r="X47" s="46" t="s">
        <v>225</v>
      </c>
      <c r="Y47" s="47">
        <v>6</v>
      </c>
      <c r="Z47" s="181"/>
      <c r="AA47" s="49">
        <f>$G$8*'Monday Est.'!W47*'Vehicle Infos'!$L$29</f>
        <v>20.385000333333334</v>
      </c>
      <c r="AB47" s="23"/>
      <c r="AC47" s="23"/>
      <c r="AD47" s="23"/>
      <c r="AE47" s="23"/>
      <c r="AF47" s="23"/>
      <c r="AG47" s="187"/>
      <c r="AH47" s="44" t="s">
        <v>2</v>
      </c>
      <c r="AI47" s="60">
        <f>R23</f>
        <v>63.908625285714272</v>
      </c>
      <c r="AJ47" s="60">
        <f>R37</f>
        <v>262.3617248571428</v>
      </c>
      <c r="AK47" s="60">
        <f>R51</f>
        <v>306.08867899999996</v>
      </c>
      <c r="AL47" s="60">
        <f>R66</f>
        <v>295.9978434285714</v>
      </c>
      <c r="AM47" s="60">
        <f>R80</f>
        <v>114.36280314285712</v>
      </c>
      <c r="AN47" s="81">
        <f t="shared" si="0"/>
        <v>1042.7196757142856</v>
      </c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ht="19.5" customHeight="1" x14ac:dyDescent="0.35">
      <c r="A48" s="23"/>
      <c r="B48" s="23"/>
      <c r="C48" s="44" t="s">
        <v>153</v>
      </c>
      <c r="D48" s="45">
        <v>10</v>
      </c>
      <c r="E48" s="45">
        <v>1</v>
      </c>
      <c r="F48" s="46" t="s">
        <v>226</v>
      </c>
      <c r="G48" s="47">
        <v>3</v>
      </c>
      <c r="H48" s="181"/>
      <c r="I48" s="44">
        <f>$D$8*'Monday Est.'!E48*'Vehicle Infos'!$L$10</f>
        <v>104.03430933333334</v>
      </c>
      <c r="J48" s="23"/>
      <c r="K48" s="23"/>
      <c r="L48" s="44" t="s">
        <v>155</v>
      </c>
      <c r="M48" s="48">
        <v>12</v>
      </c>
      <c r="N48" s="51">
        <v>3</v>
      </c>
      <c r="O48" s="46" t="s">
        <v>227</v>
      </c>
      <c r="P48" s="47">
        <v>6</v>
      </c>
      <c r="Q48" s="181"/>
      <c r="R48" s="23">
        <f>$F$8*'Monday Est.'!N48*'Vehicle Infos'!$L$21</f>
        <v>49.636001999999991</v>
      </c>
      <c r="S48" s="23"/>
      <c r="T48" s="23"/>
      <c r="U48" s="44" t="s">
        <v>156</v>
      </c>
      <c r="V48" s="48">
        <v>12</v>
      </c>
      <c r="W48" s="51">
        <v>4.5</v>
      </c>
      <c r="X48" s="46" t="s">
        <v>228</v>
      </c>
      <c r="Y48" s="47">
        <v>17</v>
      </c>
      <c r="Z48" s="181"/>
      <c r="AA48" s="49">
        <f>$G$8*'Monday Est.'!W48*'Vehicle Infos'!$L$29</f>
        <v>45.866250750000006</v>
      </c>
      <c r="AB48" s="23"/>
      <c r="AC48" s="23"/>
      <c r="AD48" s="23"/>
      <c r="AE48" s="23"/>
      <c r="AF48" s="23"/>
      <c r="AG48" s="186" t="s">
        <v>104</v>
      </c>
      <c r="AH48" s="44" t="s">
        <v>1</v>
      </c>
      <c r="AI48" s="60">
        <f>Z16</f>
        <v>102.96</v>
      </c>
      <c r="AJ48" s="60">
        <f>Z30</f>
        <v>514.79999999999995</v>
      </c>
      <c r="AK48" s="60">
        <f>Z44</f>
        <v>483.11999999999995</v>
      </c>
      <c r="AL48" s="60">
        <f>Z59</f>
        <v>308.88</v>
      </c>
      <c r="AM48" s="60">
        <f>Z73</f>
        <v>245.51999999999998</v>
      </c>
      <c r="AN48" s="81">
        <f t="shared" si="0"/>
        <v>1655.2799999999997</v>
      </c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ht="19.5" customHeight="1" x14ac:dyDescent="0.35">
      <c r="A49" s="23"/>
      <c r="B49" s="23"/>
      <c r="C49" s="44" t="s">
        <v>158</v>
      </c>
      <c r="D49" s="45">
        <v>11</v>
      </c>
      <c r="E49" s="45">
        <v>1</v>
      </c>
      <c r="F49" s="46" t="s">
        <v>229</v>
      </c>
      <c r="G49" s="47">
        <v>8</v>
      </c>
      <c r="H49" s="181"/>
      <c r="I49" s="44">
        <f>$D$8*'Monday Est.'!E49*'Vehicle Infos'!$L$10</f>
        <v>104.03430933333334</v>
      </c>
      <c r="J49" s="23"/>
      <c r="K49" s="23"/>
      <c r="L49" s="44" t="s">
        <v>160</v>
      </c>
      <c r="M49" s="48">
        <v>15.5</v>
      </c>
      <c r="N49" s="51">
        <v>3.5</v>
      </c>
      <c r="O49" s="46" t="s">
        <v>230</v>
      </c>
      <c r="P49" s="47">
        <v>7</v>
      </c>
      <c r="Q49" s="181"/>
      <c r="R49" s="23">
        <f>$F$8*'Monday Est.'!N49*'Vehicle Infos'!$L$21</f>
        <v>57.908668999999989</v>
      </c>
      <c r="S49" s="23"/>
      <c r="T49" s="23"/>
      <c r="U49" s="54" t="s">
        <v>162</v>
      </c>
      <c r="V49" s="48"/>
      <c r="W49" s="51">
        <f>SUM(W45:W48)</f>
        <v>12</v>
      </c>
      <c r="X49" s="46"/>
      <c r="Y49" s="75">
        <f>SUM(Y45:Y48)</f>
        <v>35</v>
      </c>
      <c r="Z49" s="56">
        <f>SUM(Z44)</f>
        <v>483.11999999999995</v>
      </c>
      <c r="AA49" s="49">
        <f>$G$8*'Monday Est.'!W49*'Vehicle Infos'!$L$29</f>
        <v>122.31000200000001</v>
      </c>
      <c r="AB49" s="23"/>
      <c r="AC49" s="23"/>
      <c r="AD49" s="23"/>
      <c r="AE49" s="23"/>
      <c r="AF49" s="23"/>
      <c r="AG49" s="187"/>
      <c r="AH49" s="44" t="s">
        <v>2</v>
      </c>
      <c r="AI49" s="60">
        <f>AA21</f>
        <v>26.066066000000003</v>
      </c>
      <c r="AJ49" s="60">
        <f>AA35</f>
        <v>130.33033</v>
      </c>
      <c r="AK49" s="60">
        <f>AA49</f>
        <v>122.31000200000001</v>
      </c>
      <c r="AL49" s="60">
        <f>AA64</f>
        <v>78.198198000000005</v>
      </c>
      <c r="AM49" s="60">
        <f>AA78</f>
        <v>62.157542000000007</v>
      </c>
      <c r="AN49" s="81">
        <f t="shared" si="0"/>
        <v>419.062138</v>
      </c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ht="19.5" customHeight="1" x14ac:dyDescent="0.35">
      <c r="A50" s="23"/>
      <c r="B50" s="23"/>
      <c r="C50" s="44" t="s">
        <v>163</v>
      </c>
      <c r="D50" s="45">
        <v>12</v>
      </c>
      <c r="E50" s="45">
        <v>1</v>
      </c>
      <c r="F50" s="46" t="s">
        <v>231</v>
      </c>
      <c r="G50" s="47">
        <v>4</v>
      </c>
      <c r="H50" s="181"/>
      <c r="I50" s="44">
        <f>$D$8*'Monday Est.'!E50*'Vehicle Infos'!$L$10</f>
        <v>104.03430933333334</v>
      </c>
      <c r="J50" s="23"/>
      <c r="K50" s="23"/>
      <c r="L50" s="44" t="s">
        <v>165</v>
      </c>
      <c r="M50" s="48">
        <v>18.5</v>
      </c>
      <c r="N50" s="51">
        <v>3</v>
      </c>
      <c r="O50" s="46" t="s">
        <v>232</v>
      </c>
      <c r="P50" s="47">
        <v>7</v>
      </c>
      <c r="Q50" s="181"/>
      <c r="R50" s="23">
        <f>$F$8*'Monday Est.'!N50*'Vehicle Infos'!$L$21</f>
        <v>49.636001999999991</v>
      </c>
      <c r="S50" s="23"/>
      <c r="T50" s="23"/>
      <c r="U50" s="23"/>
      <c r="V50" s="23"/>
      <c r="W50" s="23"/>
      <c r="X50" s="23"/>
      <c r="Y50" s="50"/>
      <c r="Z50" s="57"/>
      <c r="AA50" s="57"/>
      <c r="AB50" s="23"/>
      <c r="AC50" s="23"/>
      <c r="AD50" s="23"/>
      <c r="AE50" s="23"/>
      <c r="AF50" s="23"/>
      <c r="AG50" s="23"/>
      <c r="AH50" s="44"/>
      <c r="AI50" s="60"/>
      <c r="AJ50" s="60"/>
      <c r="AK50" s="60"/>
      <c r="AL50" s="60"/>
      <c r="AM50" s="60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ht="19.5" customHeight="1" x14ac:dyDescent="0.35">
      <c r="A51" s="23"/>
      <c r="B51" s="23"/>
      <c r="C51" s="44" t="s">
        <v>167</v>
      </c>
      <c r="D51" s="45">
        <v>14</v>
      </c>
      <c r="E51" s="45">
        <v>2</v>
      </c>
      <c r="F51" s="46" t="s">
        <v>233</v>
      </c>
      <c r="G51" s="47">
        <v>5</v>
      </c>
      <c r="H51" s="181"/>
      <c r="I51" s="44">
        <f>$D$8*'Monday Est.'!E51*'Vehicle Infos'!$L$10</f>
        <v>208.06861866666668</v>
      </c>
      <c r="J51" s="23"/>
      <c r="K51" s="23"/>
      <c r="L51" s="54" t="s">
        <v>162</v>
      </c>
      <c r="M51" s="49"/>
      <c r="N51" s="45">
        <f>SUM(N44:N50)</f>
        <v>18.5</v>
      </c>
      <c r="O51" s="58"/>
      <c r="P51" s="75">
        <f>SUM(P45:P50)</f>
        <v>35</v>
      </c>
      <c r="Q51" s="56">
        <f>SUM(Q44)</f>
        <v>951.80084999999997</v>
      </c>
      <c r="R51" s="23">
        <f>$F$8*'Monday Est.'!N51*'Vehicle Infos'!$L$21</f>
        <v>306.08867899999996</v>
      </c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ht="19.5" customHeight="1" x14ac:dyDescent="0.35">
      <c r="A52" s="23"/>
      <c r="B52" s="23"/>
      <c r="C52" s="44" t="s">
        <v>169</v>
      </c>
      <c r="D52" s="45">
        <v>14.5</v>
      </c>
      <c r="E52" s="45">
        <v>0.5</v>
      </c>
      <c r="F52" s="46" t="s">
        <v>234</v>
      </c>
      <c r="G52" s="47">
        <v>2</v>
      </c>
      <c r="H52" s="181"/>
      <c r="I52" s="44">
        <f>$D$8*'Monday Est.'!E52*'Vehicle Infos'!$L$10</f>
        <v>52.01715466666667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ht="19.5" customHeight="1" x14ac:dyDescent="0.35">
      <c r="A53" s="23"/>
      <c r="B53" s="23"/>
      <c r="C53" s="44" t="s">
        <v>171</v>
      </c>
      <c r="D53" s="45">
        <v>15</v>
      </c>
      <c r="E53" s="45">
        <v>0.5</v>
      </c>
      <c r="F53" s="46" t="s">
        <v>235</v>
      </c>
      <c r="G53" s="47">
        <v>1</v>
      </c>
      <c r="H53" s="181"/>
      <c r="I53" s="44">
        <f>$D$8*'Monday Est.'!E53*'Vehicle Infos'!$L$10</f>
        <v>52.01715466666667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ht="15.75" customHeight="1" x14ac:dyDescent="0.35">
      <c r="A54" s="23"/>
      <c r="B54" s="23"/>
      <c r="C54" s="54" t="s">
        <v>162</v>
      </c>
      <c r="D54" s="49"/>
      <c r="E54" s="76">
        <v>15</v>
      </c>
      <c r="F54" s="58"/>
      <c r="G54" s="75">
        <f>SUM(G45:G53)</f>
        <v>36</v>
      </c>
      <c r="H54" s="77">
        <f>H44</f>
        <v>3211.8</v>
      </c>
      <c r="I54" s="44">
        <f>$D$8*('Vehicle Infos'!$I$10/100)*'Monday Est.'!E54*'Vehicle Infos'!$L$10</f>
        <v>178.444849084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ht="15.75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ht="15.75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ht="18.75" customHeight="1" x14ac:dyDescent="0.35">
      <c r="A57" s="23"/>
      <c r="B57" s="23"/>
      <c r="C57" s="32" t="s">
        <v>236</v>
      </c>
      <c r="D57" s="69"/>
      <c r="E57" s="69"/>
      <c r="F57" s="69"/>
      <c r="G57" s="69"/>
      <c r="H57" s="69"/>
      <c r="I57" s="69"/>
      <c r="J57" s="23"/>
      <c r="K57" s="23"/>
      <c r="L57" s="32" t="s">
        <v>237</v>
      </c>
      <c r="M57" s="33"/>
      <c r="N57" s="33"/>
      <c r="O57" s="33"/>
      <c r="P57" s="33"/>
      <c r="Q57" s="33"/>
      <c r="R57" s="23"/>
      <c r="S57" s="23"/>
      <c r="T57" s="23"/>
      <c r="U57" s="32" t="s">
        <v>237</v>
      </c>
      <c r="V57" s="33"/>
      <c r="W57" s="33"/>
      <c r="X57" s="33"/>
      <c r="Y57" s="33"/>
      <c r="Z57" s="3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ht="63.75" customHeight="1" x14ac:dyDescent="0.45">
      <c r="A58" s="23"/>
      <c r="B58" s="23"/>
      <c r="C58" s="37" t="s">
        <v>176</v>
      </c>
      <c r="D58" s="38" t="s">
        <v>122</v>
      </c>
      <c r="E58" s="38" t="s">
        <v>129</v>
      </c>
      <c r="F58" s="38" t="s">
        <v>130</v>
      </c>
      <c r="G58" s="38" t="s">
        <v>131</v>
      </c>
      <c r="H58" s="39" t="s">
        <v>126</v>
      </c>
      <c r="I58" s="40" t="s">
        <v>127</v>
      </c>
      <c r="J58" s="23"/>
      <c r="K58" s="23"/>
      <c r="L58" s="72" t="s">
        <v>128</v>
      </c>
      <c r="M58" s="38" t="s">
        <v>122</v>
      </c>
      <c r="N58" s="38" t="s">
        <v>129</v>
      </c>
      <c r="O58" s="38" t="s">
        <v>130</v>
      </c>
      <c r="P58" s="38" t="s">
        <v>131</v>
      </c>
      <c r="Q58" s="41" t="s">
        <v>126</v>
      </c>
      <c r="R58" s="42" t="s">
        <v>127</v>
      </c>
      <c r="S58" s="23"/>
      <c r="T58" s="23"/>
      <c r="U58" s="82" t="s">
        <v>178</v>
      </c>
      <c r="V58" s="38" t="s">
        <v>122</v>
      </c>
      <c r="W58" s="38" t="s">
        <v>129</v>
      </c>
      <c r="X58" s="38" t="s">
        <v>130</v>
      </c>
      <c r="Y58" s="38" t="s">
        <v>131</v>
      </c>
      <c r="Z58" s="41" t="s">
        <v>126</v>
      </c>
      <c r="AA58" s="42" t="s">
        <v>127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ht="15.75" customHeight="1" x14ac:dyDescent="0.35">
      <c r="A59" s="23"/>
      <c r="B59" s="23"/>
      <c r="C59" s="44" t="s">
        <v>133</v>
      </c>
      <c r="D59" s="45">
        <v>0</v>
      </c>
      <c r="E59" s="45">
        <v>0</v>
      </c>
      <c r="F59" s="46" t="s">
        <v>238</v>
      </c>
      <c r="G59" s="47"/>
      <c r="H59" s="180">
        <f>D9*D3*'Vehicle Infos'!K10</f>
        <v>1701.3000000000002</v>
      </c>
      <c r="I59" s="44">
        <f>$D$9*'Monday Est.'!E59*'Vehicle Infos'!$L$10</f>
        <v>0</v>
      </c>
      <c r="J59" s="23"/>
      <c r="K59" s="23"/>
      <c r="L59" s="44" t="s">
        <v>135</v>
      </c>
      <c r="M59" s="48">
        <v>0</v>
      </c>
      <c r="N59" s="47">
        <v>0</v>
      </c>
      <c r="O59" s="46" t="s">
        <v>216</v>
      </c>
      <c r="P59" s="47"/>
      <c r="Q59" s="183">
        <f>F9*F3*'Vehicle Infos'!K21</f>
        <v>920.42279999999982</v>
      </c>
      <c r="R59" s="23">
        <f>$F$9*'Monday Est.'!N59*'Vehicle Infos'!$L$21</f>
        <v>0</v>
      </c>
      <c r="S59" s="23"/>
      <c r="T59" s="23"/>
      <c r="U59" s="44" t="s">
        <v>136</v>
      </c>
      <c r="V59" s="48">
        <v>0</v>
      </c>
      <c r="W59" s="47">
        <v>0</v>
      </c>
      <c r="X59" s="46" t="s">
        <v>216</v>
      </c>
      <c r="Y59" s="47">
        <v>0</v>
      </c>
      <c r="Z59" s="183">
        <f>G9*G3*'Vehicle Infos'!K29</f>
        <v>308.88</v>
      </c>
      <c r="AA59" s="49">
        <f>$G$9*'Monday Est.'!W59*'Vehicle Infos'!$L$29</f>
        <v>0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ht="15.75" customHeight="1" x14ac:dyDescent="0.35">
      <c r="A60" s="23"/>
      <c r="B60" s="23"/>
      <c r="C60" s="44" t="s">
        <v>137</v>
      </c>
      <c r="D60" s="45">
        <v>7.5</v>
      </c>
      <c r="E60" s="45">
        <v>7.5</v>
      </c>
      <c r="F60" s="46" t="s">
        <v>239</v>
      </c>
      <c r="G60" s="47">
        <v>7</v>
      </c>
      <c r="H60" s="181"/>
      <c r="I60" s="44">
        <f>$D$9*'Monday Est.'!E60*'Vehicle Infos'!$L$10</f>
        <v>413.30462</v>
      </c>
      <c r="J60" s="23"/>
      <c r="K60" s="23"/>
      <c r="L60" s="44" t="s">
        <v>139</v>
      </c>
      <c r="M60" s="48">
        <v>1</v>
      </c>
      <c r="N60" s="47">
        <v>1</v>
      </c>
      <c r="O60" s="46" t="s">
        <v>240</v>
      </c>
      <c r="P60" s="47">
        <v>2</v>
      </c>
      <c r="Q60" s="181"/>
      <c r="R60" s="23">
        <f>$F$9*'Monday Est.'!N60*'Vehicle Infos'!$L$21</f>
        <v>15.999883428571426</v>
      </c>
      <c r="S60" s="23"/>
      <c r="T60" s="23"/>
      <c r="U60" s="44" t="s">
        <v>141</v>
      </c>
      <c r="V60" s="48">
        <v>3</v>
      </c>
      <c r="W60" s="51">
        <v>3</v>
      </c>
      <c r="X60" s="46" t="s">
        <v>241</v>
      </c>
      <c r="Y60" s="47">
        <v>6</v>
      </c>
      <c r="Z60" s="181"/>
      <c r="AA60" s="49">
        <f>$G$9*'Monday Est.'!W60*'Vehicle Infos'!$L$29</f>
        <v>19.549549500000001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ht="15.75" customHeight="1" x14ac:dyDescent="0.35">
      <c r="A61" s="23"/>
      <c r="B61" s="23"/>
      <c r="C61" s="44" t="s">
        <v>143</v>
      </c>
      <c r="D61" s="45">
        <v>8</v>
      </c>
      <c r="E61" s="45">
        <v>0.5</v>
      </c>
      <c r="F61" s="46" t="s">
        <v>242</v>
      </c>
      <c r="G61" s="47">
        <v>6</v>
      </c>
      <c r="H61" s="181"/>
      <c r="I61" s="44">
        <f>$D$9*'Monday Est.'!E61*'Vehicle Infos'!$L$10</f>
        <v>27.553641333333331</v>
      </c>
      <c r="J61" s="23"/>
      <c r="K61" s="23"/>
      <c r="L61" s="44" t="s">
        <v>145</v>
      </c>
      <c r="M61" s="48">
        <v>2.5</v>
      </c>
      <c r="N61" s="51">
        <v>1.5</v>
      </c>
      <c r="O61" s="46" t="s">
        <v>243</v>
      </c>
      <c r="P61" s="47">
        <v>6</v>
      </c>
      <c r="Q61" s="181"/>
      <c r="R61" s="23">
        <f>$F$9*'Monday Est.'!N61*'Vehicle Infos'!$L$21</f>
        <v>23.999825142857141</v>
      </c>
      <c r="S61" s="23"/>
      <c r="T61" s="23"/>
      <c r="U61" s="44" t="s">
        <v>146</v>
      </c>
      <c r="V61" s="48">
        <v>5.5</v>
      </c>
      <c r="W61" s="51">
        <v>2.5</v>
      </c>
      <c r="X61" s="46" t="s">
        <v>244</v>
      </c>
      <c r="Y61" s="47">
        <v>9</v>
      </c>
      <c r="Z61" s="181"/>
      <c r="AA61" s="49">
        <f>$G$9*'Monday Est.'!W61*'Vehicle Infos'!$L$29</f>
        <v>16.29129125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ht="15.75" customHeight="1" x14ac:dyDescent="0.35">
      <c r="A62" s="23"/>
      <c r="B62" s="23"/>
      <c r="C62" s="44" t="s">
        <v>148</v>
      </c>
      <c r="D62" s="45">
        <v>9</v>
      </c>
      <c r="E62" s="45">
        <v>1</v>
      </c>
      <c r="F62" s="46" t="s">
        <v>245</v>
      </c>
      <c r="G62" s="47">
        <v>8</v>
      </c>
      <c r="H62" s="181"/>
      <c r="I62" s="44">
        <f>$D$9*'Monday Est.'!E62*'Vehicle Infos'!$L$10</f>
        <v>55.107282666666663</v>
      </c>
      <c r="J62" s="23"/>
      <c r="K62" s="23"/>
      <c r="L62" s="44" t="s">
        <v>150</v>
      </c>
      <c r="M62" s="48">
        <v>9</v>
      </c>
      <c r="N62" s="51">
        <v>6.5</v>
      </c>
      <c r="O62" s="46" t="s">
        <v>225</v>
      </c>
      <c r="P62" s="47">
        <v>10</v>
      </c>
      <c r="Q62" s="181"/>
      <c r="R62" s="23">
        <f>$F$9*'Monday Est.'!N62*'Vehicle Infos'!$L$21</f>
        <v>103.99924228571427</v>
      </c>
      <c r="S62" s="23"/>
      <c r="T62" s="23"/>
      <c r="U62" s="44" t="s">
        <v>151</v>
      </c>
      <c r="V62" s="48">
        <v>7.5</v>
      </c>
      <c r="W62" s="51">
        <v>2</v>
      </c>
      <c r="X62" s="46" t="s">
        <v>246</v>
      </c>
      <c r="Y62" s="47">
        <v>16</v>
      </c>
      <c r="Z62" s="181"/>
      <c r="AA62" s="49">
        <f>$G$9*'Monday Est.'!W62*'Vehicle Infos'!$L$29</f>
        <v>13.033033000000001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ht="15.75" customHeight="1" x14ac:dyDescent="0.35">
      <c r="A63" s="23"/>
      <c r="B63" s="23"/>
      <c r="C63" s="44" t="s">
        <v>153</v>
      </c>
      <c r="D63" s="45">
        <v>10</v>
      </c>
      <c r="E63" s="45">
        <v>1</v>
      </c>
      <c r="F63" s="46" t="s">
        <v>247</v>
      </c>
      <c r="G63" s="47">
        <v>7</v>
      </c>
      <c r="H63" s="181"/>
      <c r="I63" s="44">
        <f>$D$9*'Monday Est.'!E63*'Vehicle Infos'!$L$10</f>
        <v>55.107282666666663</v>
      </c>
      <c r="J63" s="23"/>
      <c r="K63" s="23"/>
      <c r="L63" s="44" t="s">
        <v>155</v>
      </c>
      <c r="M63" s="48">
        <v>12</v>
      </c>
      <c r="N63" s="51">
        <v>3</v>
      </c>
      <c r="O63" s="46" t="s">
        <v>248</v>
      </c>
      <c r="P63" s="47">
        <v>7</v>
      </c>
      <c r="Q63" s="181"/>
      <c r="R63" s="23">
        <f>$F$9*'Monday Est.'!N63*'Vehicle Infos'!$L$21</f>
        <v>47.999650285714281</v>
      </c>
      <c r="S63" s="23"/>
      <c r="T63" s="23"/>
      <c r="U63" s="44" t="s">
        <v>156</v>
      </c>
      <c r="V63" s="48">
        <v>12</v>
      </c>
      <c r="W63" s="51">
        <v>4.5</v>
      </c>
      <c r="X63" s="46" t="s">
        <v>249</v>
      </c>
      <c r="Y63" s="47">
        <v>29</v>
      </c>
      <c r="Z63" s="181"/>
      <c r="AA63" s="49">
        <f>$G$9*'Monday Est.'!W63*'Vehicle Infos'!$L$29</f>
        <v>29.324324250000004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ht="15.75" customHeight="1" x14ac:dyDescent="0.35">
      <c r="A64" s="23"/>
      <c r="B64" s="23"/>
      <c r="C64" s="44" t="s">
        <v>158</v>
      </c>
      <c r="D64" s="45">
        <v>11</v>
      </c>
      <c r="E64" s="45">
        <v>1</v>
      </c>
      <c r="F64" s="46" t="s">
        <v>250</v>
      </c>
      <c r="G64" s="47">
        <v>15</v>
      </c>
      <c r="H64" s="181"/>
      <c r="I64" s="44">
        <f>$D$9*'Monday Est.'!E64*'Vehicle Infos'!$L$10</f>
        <v>55.107282666666663</v>
      </c>
      <c r="J64" s="23"/>
      <c r="K64" s="23"/>
      <c r="L64" s="44" t="s">
        <v>160</v>
      </c>
      <c r="M64" s="48">
        <v>15.5</v>
      </c>
      <c r="N64" s="51">
        <v>3.5</v>
      </c>
      <c r="O64" s="46" t="s">
        <v>228</v>
      </c>
      <c r="P64" s="47">
        <v>10</v>
      </c>
      <c r="Q64" s="181"/>
      <c r="R64" s="23">
        <f>$F$9*'Monday Est.'!N64*'Vehicle Infos'!$L$21</f>
        <v>55.999591999999993</v>
      </c>
      <c r="S64" s="23"/>
      <c r="T64" s="23"/>
      <c r="U64" s="54" t="s">
        <v>162</v>
      </c>
      <c r="V64" s="48"/>
      <c r="W64" s="51">
        <f>SUM(W60:W63)</f>
        <v>12</v>
      </c>
      <c r="X64" s="46"/>
      <c r="Y64" s="75">
        <f>SUM(Y60:Y63)</f>
        <v>60</v>
      </c>
      <c r="Z64" s="56">
        <f>SUM(Z59)</f>
        <v>308.88</v>
      </c>
      <c r="AA64" s="49">
        <f>$G$9*'Monday Est.'!W64*'Vehicle Infos'!$L$29</f>
        <v>78.198198000000005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ht="15.75" customHeight="1" x14ac:dyDescent="0.35">
      <c r="A65" s="23"/>
      <c r="B65" s="23"/>
      <c r="C65" s="44" t="s">
        <v>163</v>
      </c>
      <c r="D65" s="45">
        <v>12</v>
      </c>
      <c r="E65" s="45">
        <v>1</v>
      </c>
      <c r="F65" s="46" t="s">
        <v>251</v>
      </c>
      <c r="G65" s="47">
        <v>6</v>
      </c>
      <c r="H65" s="181"/>
      <c r="I65" s="44">
        <f>$D$9*'Monday Est.'!E65*'Vehicle Infos'!$L$10</f>
        <v>55.107282666666663</v>
      </c>
      <c r="J65" s="23"/>
      <c r="K65" s="23"/>
      <c r="L65" s="44" t="s">
        <v>165</v>
      </c>
      <c r="M65" s="48">
        <v>18.5</v>
      </c>
      <c r="N65" s="51">
        <v>3</v>
      </c>
      <c r="O65" s="46" t="s">
        <v>252</v>
      </c>
      <c r="P65" s="47">
        <v>13</v>
      </c>
      <c r="Q65" s="181"/>
      <c r="R65" s="23">
        <f>$F$9*'Monday Est.'!N65*'Vehicle Infos'!$L$21</f>
        <v>47.999650285714281</v>
      </c>
      <c r="S65" s="23"/>
      <c r="T65" s="23"/>
      <c r="U65" s="44"/>
      <c r="V65" s="48"/>
      <c r="W65" s="51"/>
      <c r="X65" s="46"/>
      <c r="Y65" s="47"/>
      <c r="Z65" s="57"/>
      <c r="AA65" s="57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ht="15.75" customHeight="1" x14ac:dyDescent="0.35">
      <c r="A66" s="23"/>
      <c r="B66" s="23"/>
      <c r="C66" s="44" t="s">
        <v>167</v>
      </c>
      <c r="D66" s="45">
        <v>14</v>
      </c>
      <c r="E66" s="45">
        <v>2</v>
      </c>
      <c r="F66" s="46" t="s">
        <v>253</v>
      </c>
      <c r="G66" s="47">
        <v>11</v>
      </c>
      <c r="H66" s="181"/>
      <c r="I66" s="44">
        <f>$D$9*'Monday Est.'!E66*'Vehicle Infos'!$L$10</f>
        <v>110.21456533333333</v>
      </c>
      <c r="J66" s="23"/>
      <c r="K66" s="23"/>
      <c r="L66" s="54" t="s">
        <v>162</v>
      </c>
      <c r="M66" s="49"/>
      <c r="N66" s="45">
        <f>SUM(N59:N65)</f>
        <v>18.5</v>
      </c>
      <c r="O66" s="58"/>
      <c r="P66" s="75">
        <f>SUM(P60:P65)</f>
        <v>48</v>
      </c>
      <c r="Q66" s="56">
        <f>SUM(Q59)</f>
        <v>920.42279999999982</v>
      </c>
      <c r="R66" s="23">
        <f>$F$9*'Monday Est.'!N66*'Vehicle Infos'!$L$21</f>
        <v>295.9978434285714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ht="15.75" customHeight="1" x14ac:dyDescent="0.35">
      <c r="A67" s="23"/>
      <c r="B67" s="23"/>
      <c r="C67" s="44" t="s">
        <v>169</v>
      </c>
      <c r="D67" s="45">
        <v>14.5</v>
      </c>
      <c r="E67" s="45">
        <v>0.5</v>
      </c>
      <c r="F67" s="46" t="s">
        <v>254</v>
      </c>
      <c r="G67" s="47">
        <v>3</v>
      </c>
      <c r="H67" s="181"/>
      <c r="I67" s="44">
        <f>$D$9*'Monday Est.'!E67*'Vehicle Infos'!$L$10</f>
        <v>27.553641333333331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ht="15.75" customHeight="1" x14ac:dyDescent="0.35">
      <c r="A68" s="23"/>
      <c r="B68" s="23"/>
      <c r="C68" s="44" t="s">
        <v>171</v>
      </c>
      <c r="D68" s="45">
        <v>15</v>
      </c>
      <c r="E68" s="45">
        <v>0.5</v>
      </c>
      <c r="F68" s="46" t="s">
        <v>255</v>
      </c>
      <c r="G68" s="47">
        <v>3</v>
      </c>
      <c r="H68" s="181"/>
      <c r="I68" s="44">
        <f>$D$9*'Monday Est.'!E68*'Vehicle Infos'!$L$10</f>
        <v>27.553641333333331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ht="15.75" customHeight="1" x14ac:dyDescent="0.35">
      <c r="A69" s="23"/>
      <c r="B69" s="23"/>
      <c r="C69" s="54" t="s">
        <v>162</v>
      </c>
      <c r="D69" s="49"/>
      <c r="E69" s="45">
        <v>15</v>
      </c>
      <c r="F69" s="58"/>
      <c r="G69" s="75">
        <f>SUM(G60:G68)</f>
        <v>66</v>
      </c>
      <c r="H69" s="77">
        <f>H59</f>
        <v>1701.3000000000002</v>
      </c>
      <c r="I69" s="44">
        <f>$D$9*'Monday Est.'!E69*'Vehicle Infos'!$L$10</f>
        <v>826.60924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ht="15.7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ht="21.75" customHeight="1" x14ac:dyDescent="0.35">
      <c r="A71" s="23"/>
      <c r="B71" s="23"/>
      <c r="C71" s="32" t="s">
        <v>256</v>
      </c>
      <c r="D71" s="69"/>
      <c r="E71" s="69"/>
      <c r="F71" s="69"/>
      <c r="G71" s="69"/>
      <c r="H71" s="69"/>
      <c r="I71" s="69"/>
      <c r="J71" s="23"/>
      <c r="K71" s="23"/>
      <c r="L71" s="32" t="s">
        <v>257</v>
      </c>
      <c r="M71" s="33"/>
      <c r="N71" s="33"/>
      <c r="O71" s="33"/>
      <c r="P71" s="33"/>
      <c r="Q71" s="33"/>
      <c r="R71" s="23"/>
      <c r="S71" s="23"/>
      <c r="T71" s="23"/>
      <c r="U71" s="32" t="s">
        <v>257</v>
      </c>
      <c r="V71" s="33"/>
      <c r="W71" s="33"/>
      <c r="X71" s="33"/>
      <c r="Y71" s="33"/>
      <c r="Z71" s="3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ht="76.5" customHeight="1" x14ac:dyDescent="0.4">
      <c r="A72" s="23"/>
      <c r="B72" s="23"/>
      <c r="C72" s="43" t="s">
        <v>176</v>
      </c>
      <c r="D72" s="38" t="s">
        <v>122</v>
      </c>
      <c r="E72" s="38" t="s">
        <v>129</v>
      </c>
      <c r="F72" s="38" t="s">
        <v>130</v>
      </c>
      <c r="G72" s="38" t="s">
        <v>131</v>
      </c>
      <c r="H72" s="39" t="s">
        <v>126</v>
      </c>
      <c r="I72" s="40" t="s">
        <v>127</v>
      </c>
      <c r="J72" s="23"/>
      <c r="K72" s="23"/>
      <c r="L72" s="72" t="s">
        <v>177</v>
      </c>
      <c r="M72" s="38" t="s">
        <v>122</v>
      </c>
      <c r="N72" s="38" t="s">
        <v>129</v>
      </c>
      <c r="O72" s="38" t="s">
        <v>130</v>
      </c>
      <c r="P72" s="38" t="s">
        <v>131</v>
      </c>
      <c r="Q72" s="41" t="s">
        <v>126</v>
      </c>
      <c r="R72" s="42" t="s">
        <v>127</v>
      </c>
      <c r="S72" s="23"/>
      <c r="T72" s="23"/>
      <c r="U72" s="72" t="s">
        <v>178</v>
      </c>
      <c r="V72" s="38" t="s">
        <v>122</v>
      </c>
      <c r="W72" s="38" t="s">
        <v>129</v>
      </c>
      <c r="X72" s="38" t="s">
        <v>130</v>
      </c>
      <c r="Y72" s="38" t="s">
        <v>131</v>
      </c>
      <c r="Z72" s="41" t="s">
        <v>126</v>
      </c>
      <c r="AA72" s="42" t="s">
        <v>127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ht="15.75" customHeight="1" x14ac:dyDescent="0.35">
      <c r="A73" s="23"/>
      <c r="B73" s="23"/>
      <c r="C73" s="44" t="s">
        <v>133</v>
      </c>
      <c r="D73" s="45">
        <v>0</v>
      </c>
      <c r="E73" s="45">
        <v>0</v>
      </c>
      <c r="F73" s="46" t="s">
        <v>258</v>
      </c>
      <c r="G73" s="47"/>
      <c r="H73" s="182">
        <f>D10*D3*'Vehicle Infos'!K10</f>
        <v>1510.5</v>
      </c>
      <c r="I73" s="44">
        <f>$D$10*'Monday Est.'!E73*'Vehicle Infos'!$L$10</f>
        <v>0</v>
      </c>
      <c r="J73" s="23"/>
      <c r="K73" s="23"/>
      <c r="L73" s="44" t="s">
        <v>135</v>
      </c>
      <c r="M73" s="48">
        <v>0</v>
      </c>
      <c r="N73" s="47">
        <v>0</v>
      </c>
      <c r="O73" s="46" t="s">
        <v>259</v>
      </c>
      <c r="P73" s="47"/>
      <c r="Q73" s="183">
        <f>F10*F3*'Vehicle Infos'!K21</f>
        <v>355.61789999999996</v>
      </c>
      <c r="R73" s="23">
        <f>$F$10*'Monday Est.'!N73*'Vehicle Infos'!$L$21</f>
        <v>0</v>
      </c>
      <c r="S73" s="23"/>
      <c r="T73" s="23"/>
      <c r="U73" s="44" t="s">
        <v>136</v>
      </c>
      <c r="V73" s="48">
        <v>0</v>
      </c>
      <c r="W73" s="47">
        <v>0</v>
      </c>
      <c r="X73" s="46" t="s">
        <v>259</v>
      </c>
      <c r="Y73" s="47"/>
      <c r="Z73" s="183">
        <f>G10*G3*'Vehicle Infos'!K29</f>
        <v>245.51999999999998</v>
      </c>
      <c r="AA73" s="49">
        <f>$G$10*'Monday Est.'!W73*'Vehicle Infos'!$L$29</f>
        <v>0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ht="15.75" customHeight="1" x14ac:dyDescent="0.35">
      <c r="A74" s="23"/>
      <c r="B74" s="23"/>
      <c r="C74" s="44" t="s">
        <v>137</v>
      </c>
      <c r="D74" s="45">
        <v>7.5</v>
      </c>
      <c r="E74" s="45">
        <v>7.5</v>
      </c>
      <c r="F74" s="46" t="s">
        <v>260</v>
      </c>
      <c r="G74" s="47">
        <v>7</v>
      </c>
      <c r="H74" s="181"/>
      <c r="I74" s="44">
        <f>$D$10*'Monday Est.'!E74*'Vehicle Infos'!$L$10</f>
        <v>366.95269999999999</v>
      </c>
      <c r="J74" s="23"/>
      <c r="K74" s="23"/>
      <c r="L74" s="44" t="s">
        <v>139</v>
      </c>
      <c r="M74" s="48">
        <v>1</v>
      </c>
      <c r="N74" s="47">
        <v>1</v>
      </c>
      <c r="O74" s="46" t="s">
        <v>261</v>
      </c>
      <c r="P74" s="47">
        <v>2</v>
      </c>
      <c r="Q74" s="181"/>
      <c r="R74" s="23">
        <f>$F$10*'Monday Est.'!N74*'Vehicle Infos'!$L$21</f>
        <v>6.1817731428571419</v>
      </c>
      <c r="S74" s="23"/>
      <c r="T74" s="23"/>
      <c r="U74" s="44" t="s">
        <v>141</v>
      </c>
      <c r="V74" s="48">
        <v>3</v>
      </c>
      <c r="W74" s="51">
        <v>3</v>
      </c>
      <c r="X74" s="46" t="s">
        <v>262</v>
      </c>
      <c r="Y74" s="47">
        <v>5</v>
      </c>
      <c r="Z74" s="181"/>
      <c r="AA74" s="49">
        <f>$G$10*'Monday Est.'!W74*'Vehicle Infos'!$L$29</f>
        <v>15.539385500000002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ht="15.75" customHeight="1" x14ac:dyDescent="0.35">
      <c r="A75" s="23"/>
      <c r="B75" s="23"/>
      <c r="C75" s="44" t="s">
        <v>143</v>
      </c>
      <c r="D75" s="45">
        <v>8</v>
      </c>
      <c r="E75" s="45">
        <v>0.5</v>
      </c>
      <c r="F75" s="46" t="s">
        <v>263</v>
      </c>
      <c r="G75" s="47">
        <v>6</v>
      </c>
      <c r="H75" s="181"/>
      <c r="I75" s="44">
        <f>$D$10*'Monday Est.'!E75*'Vehicle Infos'!$L$10</f>
        <v>24.463513333333331</v>
      </c>
      <c r="J75" s="23"/>
      <c r="K75" s="23"/>
      <c r="L75" s="44" t="s">
        <v>145</v>
      </c>
      <c r="M75" s="48">
        <v>2.5</v>
      </c>
      <c r="N75" s="51">
        <v>1.5</v>
      </c>
      <c r="O75" s="46" t="s">
        <v>264</v>
      </c>
      <c r="P75" s="47">
        <v>5</v>
      </c>
      <c r="Q75" s="181"/>
      <c r="R75" s="23">
        <f>$F$10*'Monday Est.'!N75*'Vehicle Infos'!$L$21</f>
        <v>9.2726597142857123</v>
      </c>
      <c r="S75" s="23"/>
      <c r="T75" s="23"/>
      <c r="U75" s="44" t="s">
        <v>146</v>
      </c>
      <c r="V75" s="48">
        <v>5.5</v>
      </c>
      <c r="W75" s="51">
        <v>2.5</v>
      </c>
      <c r="X75" s="46" t="s">
        <v>265</v>
      </c>
      <c r="Y75" s="47">
        <v>7</v>
      </c>
      <c r="Z75" s="181"/>
      <c r="AA75" s="49">
        <f>$G$10*'Monday Est.'!W75*'Vehicle Infos'!$L$29</f>
        <v>12.949487916666667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ht="15.75" customHeight="1" x14ac:dyDescent="0.35">
      <c r="A76" s="23"/>
      <c r="B76" s="23"/>
      <c r="C76" s="44" t="s">
        <v>148</v>
      </c>
      <c r="D76" s="45">
        <v>9</v>
      </c>
      <c r="E76" s="45">
        <v>1</v>
      </c>
      <c r="F76" s="46" t="s">
        <v>266</v>
      </c>
      <c r="G76" s="47">
        <v>7</v>
      </c>
      <c r="H76" s="181"/>
      <c r="I76" s="44">
        <f>$D$10*'Monday Est.'!E76*'Vehicle Infos'!$L$10</f>
        <v>48.927026666666663</v>
      </c>
      <c r="J76" s="23"/>
      <c r="K76" s="23"/>
      <c r="L76" s="44" t="s">
        <v>150</v>
      </c>
      <c r="M76" s="48">
        <v>9</v>
      </c>
      <c r="N76" s="51">
        <v>6.5</v>
      </c>
      <c r="O76" s="46" t="s">
        <v>267</v>
      </c>
      <c r="P76" s="47">
        <v>9</v>
      </c>
      <c r="Q76" s="181"/>
      <c r="R76" s="23">
        <f>$F$10*'Monday Est.'!N76*'Vehicle Infos'!$L$21</f>
        <v>40.181525428571419</v>
      </c>
      <c r="S76" s="23"/>
      <c r="T76" s="23"/>
      <c r="U76" s="44" t="s">
        <v>151</v>
      </c>
      <c r="V76" s="48">
        <v>7.5</v>
      </c>
      <c r="W76" s="51">
        <v>2</v>
      </c>
      <c r="X76" s="46" t="s">
        <v>268</v>
      </c>
      <c r="Y76" s="47">
        <v>9</v>
      </c>
      <c r="Z76" s="181"/>
      <c r="AA76" s="49">
        <f>$G$10*'Monday Est.'!W76*'Vehicle Infos'!$L$29</f>
        <v>10.359590333333333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ht="15.75" customHeight="1" x14ac:dyDescent="0.35">
      <c r="A77" s="23"/>
      <c r="B77" s="23"/>
      <c r="C77" s="44" t="s">
        <v>153</v>
      </c>
      <c r="D77" s="45">
        <v>10</v>
      </c>
      <c r="E77" s="45">
        <v>1</v>
      </c>
      <c r="F77" s="46" t="s">
        <v>269</v>
      </c>
      <c r="G77" s="47">
        <v>6</v>
      </c>
      <c r="H77" s="181"/>
      <c r="I77" s="44">
        <f>$D$10*'Monday Est.'!E77*'Vehicle Infos'!$L$10</f>
        <v>48.927026666666663</v>
      </c>
      <c r="J77" s="23"/>
      <c r="K77" s="23"/>
      <c r="L77" s="44" t="s">
        <v>155</v>
      </c>
      <c r="M77" s="48">
        <v>12</v>
      </c>
      <c r="N77" s="51">
        <v>3</v>
      </c>
      <c r="O77" s="46" t="s">
        <v>270</v>
      </c>
      <c r="P77" s="47">
        <v>7</v>
      </c>
      <c r="Q77" s="181"/>
      <c r="R77" s="23">
        <f>$F$10*'Monday Est.'!N77*'Vehicle Infos'!$L$21</f>
        <v>18.545319428571425</v>
      </c>
      <c r="S77" s="23"/>
      <c r="T77" s="23"/>
      <c r="U77" s="44" t="s">
        <v>156</v>
      </c>
      <c r="V77" s="48">
        <v>12</v>
      </c>
      <c r="W77" s="51">
        <v>4.5</v>
      </c>
      <c r="X77" s="46" t="s">
        <v>271</v>
      </c>
      <c r="Y77" s="47">
        <v>22</v>
      </c>
      <c r="Z77" s="181"/>
      <c r="AA77" s="49">
        <f>$G$10*'Monday Est.'!W77*'Vehicle Infos'!$L$29</f>
        <v>23.309078250000002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ht="15.75" customHeight="1" x14ac:dyDescent="0.35">
      <c r="A78" s="23"/>
      <c r="B78" s="23"/>
      <c r="C78" s="44" t="s">
        <v>158</v>
      </c>
      <c r="D78" s="45">
        <v>11</v>
      </c>
      <c r="E78" s="45">
        <v>1</v>
      </c>
      <c r="F78" s="46" t="s">
        <v>272</v>
      </c>
      <c r="G78" s="47">
        <v>13</v>
      </c>
      <c r="H78" s="181"/>
      <c r="I78" s="44">
        <f>$D$10*'Monday Est.'!E78*'Vehicle Infos'!$L$10</f>
        <v>48.927026666666663</v>
      </c>
      <c r="J78" s="23"/>
      <c r="K78" s="23"/>
      <c r="L78" s="44" t="s">
        <v>160</v>
      </c>
      <c r="M78" s="48">
        <v>15.5</v>
      </c>
      <c r="N78" s="51">
        <v>3.5</v>
      </c>
      <c r="O78" s="46" t="s">
        <v>273</v>
      </c>
      <c r="P78" s="47">
        <v>6</v>
      </c>
      <c r="Q78" s="181"/>
      <c r="R78" s="23">
        <f>$F$10*'Monday Est.'!N78*'Vehicle Infos'!$L$21</f>
        <v>21.636205999999998</v>
      </c>
      <c r="S78" s="23"/>
      <c r="T78" s="23"/>
      <c r="U78" s="54" t="s">
        <v>162</v>
      </c>
      <c r="V78" s="48"/>
      <c r="W78" s="51">
        <f>SUM(W74:W77)</f>
        <v>12</v>
      </c>
      <c r="X78" s="46"/>
      <c r="Y78" s="75">
        <f>SUM(Y74:Y77)</f>
        <v>43</v>
      </c>
      <c r="Z78" s="56">
        <f>SUM(Z73)</f>
        <v>245.51999999999998</v>
      </c>
      <c r="AA78" s="49">
        <f>$G$10*'Monday Est.'!W78*'Vehicle Infos'!$L$29</f>
        <v>62.157542000000007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ht="15.75" customHeight="1" x14ac:dyDescent="0.35">
      <c r="A79" s="23"/>
      <c r="B79" s="23"/>
      <c r="C79" s="44" t="s">
        <v>163</v>
      </c>
      <c r="D79" s="45">
        <v>12</v>
      </c>
      <c r="E79" s="45">
        <v>1</v>
      </c>
      <c r="F79" s="46" t="s">
        <v>274</v>
      </c>
      <c r="G79" s="47">
        <v>5</v>
      </c>
      <c r="H79" s="181"/>
      <c r="I79" s="44">
        <f>$D$10*'Monday Est.'!E79*'Vehicle Infos'!$L$10</f>
        <v>48.927026666666663</v>
      </c>
      <c r="J79" s="23"/>
      <c r="K79" s="23"/>
      <c r="L79" s="44" t="s">
        <v>165</v>
      </c>
      <c r="M79" s="48">
        <v>18.5</v>
      </c>
      <c r="N79" s="51">
        <v>3</v>
      </c>
      <c r="O79" s="46" t="s">
        <v>275</v>
      </c>
      <c r="P79" s="47">
        <v>9</v>
      </c>
      <c r="Q79" s="181"/>
      <c r="R79" s="23">
        <f>$F$10*'Monday Est.'!N79*'Vehicle Infos'!$L$21</f>
        <v>18.545319428571425</v>
      </c>
      <c r="S79" s="23"/>
      <c r="T79" s="23"/>
      <c r="U79" s="54"/>
      <c r="V79" s="49"/>
      <c r="W79" s="45"/>
      <c r="X79" s="58"/>
      <c r="Y79" s="75"/>
      <c r="Z79" s="57"/>
      <c r="AA79" s="57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ht="15.75" customHeight="1" x14ac:dyDescent="0.35">
      <c r="A80" s="23"/>
      <c r="B80" s="23"/>
      <c r="C80" s="44" t="s">
        <v>167</v>
      </c>
      <c r="D80" s="45">
        <v>14</v>
      </c>
      <c r="E80" s="45">
        <v>2</v>
      </c>
      <c r="F80" s="46" t="s">
        <v>276</v>
      </c>
      <c r="G80" s="47">
        <v>9</v>
      </c>
      <c r="H80" s="181"/>
      <c r="I80" s="44">
        <f>$D$10*'Monday Est.'!E80*'Vehicle Infos'!$L$10</f>
        <v>97.854053333333326</v>
      </c>
      <c r="J80" s="23"/>
      <c r="K80" s="23"/>
      <c r="L80" s="54" t="s">
        <v>162</v>
      </c>
      <c r="M80" s="49"/>
      <c r="N80" s="45">
        <f>SUM(N73:N79)</f>
        <v>18.5</v>
      </c>
      <c r="O80" s="58"/>
      <c r="P80" s="75">
        <f>SUM(P74:P79)</f>
        <v>38</v>
      </c>
      <c r="Q80" s="56">
        <f>SUM(Q73)</f>
        <v>355.61789999999996</v>
      </c>
      <c r="R80" s="23">
        <f>$F$10*'Monday Est.'!N80*'Vehicle Infos'!$L$21</f>
        <v>114.36280314285712</v>
      </c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ht="15.75" customHeight="1" x14ac:dyDescent="0.35">
      <c r="A81" s="23"/>
      <c r="B81" s="23"/>
      <c r="C81" s="44" t="s">
        <v>169</v>
      </c>
      <c r="D81" s="45">
        <v>14.5</v>
      </c>
      <c r="E81" s="45">
        <v>0.5</v>
      </c>
      <c r="F81" s="46" t="s">
        <v>277</v>
      </c>
      <c r="G81" s="47">
        <v>2</v>
      </c>
      <c r="H81" s="181"/>
      <c r="I81" s="44">
        <f>$D$10*'Monday Est.'!E81*'Vehicle Infos'!$L$10</f>
        <v>24.463513333333331</v>
      </c>
      <c r="J81" s="23"/>
      <c r="K81" s="23"/>
      <c r="L81" s="44"/>
      <c r="M81" s="45"/>
      <c r="N81" s="45"/>
      <c r="O81" s="46"/>
      <c r="P81" s="47"/>
      <c r="Q81" s="57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ht="15.75" customHeight="1" x14ac:dyDescent="0.35">
      <c r="A82" s="23"/>
      <c r="B82" s="23"/>
      <c r="C82" s="44" t="s">
        <v>171</v>
      </c>
      <c r="D82" s="45">
        <v>15</v>
      </c>
      <c r="E82" s="45">
        <v>0.5</v>
      </c>
      <c r="F82" s="46" t="s">
        <v>278</v>
      </c>
      <c r="G82" s="47">
        <v>1</v>
      </c>
      <c r="H82" s="181"/>
      <c r="I82" s="44">
        <f>$D$10*'Monday Est.'!E82*'Vehicle Infos'!$L$10</f>
        <v>24.463513333333331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ht="15.75" customHeight="1" x14ac:dyDescent="0.35">
      <c r="A83" s="23"/>
      <c r="B83" s="23"/>
      <c r="C83" s="54" t="s">
        <v>162</v>
      </c>
      <c r="D83" s="49"/>
      <c r="E83" s="45">
        <v>15</v>
      </c>
      <c r="F83" s="58"/>
      <c r="G83" s="75">
        <f>SUM(G74:G82)</f>
        <v>56</v>
      </c>
      <c r="H83" s="61">
        <f>SUM(H73)</f>
        <v>1510.5</v>
      </c>
      <c r="I83" s="44">
        <f>$D$10*'Monday Est.'!E83*'Vehicle Infos'!$L$10</f>
        <v>733.90539999999999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ht="15.7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ht="15.75" customHeight="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ht="15.75" customHeigh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ht="15.7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ht="15.7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ht="15.7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ht="15.7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49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49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49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49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49" ht="15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49" ht="15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49" ht="15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49" ht="15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ht="15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ht="15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49" ht="15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49" ht="15.75" customHeight="1" x14ac:dyDescent="0.3">
      <c r="A108" s="23"/>
      <c r="B108" s="23"/>
      <c r="C108" s="37" t="s">
        <v>121</v>
      </c>
      <c r="D108" s="38" t="s">
        <v>122</v>
      </c>
      <c r="E108" s="38" t="s">
        <v>123</v>
      </c>
      <c r="F108" s="38" t="s">
        <v>124</v>
      </c>
      <c r="G108" s="38" t="s">
        <v>125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49" ht="15.75" customHeight="1" x14ac:dyDescent="0.35">
      <c r="A109" s="23"/>
      <c r="B109" s="23"/>
      <c r="C109" s="44" t="s">
        <v>133</v>
      </c>
      <c r="D109" s="45">
        <v>0</v>
      </c>
      <c r="E109" s="45">
        <v>0</v>
      </c>
      <c r="F109" s="46" t="s">
        <v>134</v>
      </c>
      <c r="G109" s="47">
        <v>0</v>
      </c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49" ht="15.75" customHeight="1" x14ac:dyDescent="0.35">
      <c r="A110" s="23"/>
      <c r="B110" s="23"/>
      <c r="C110" s="44" t="s">
        <v>137</v>
      </c>
      <c r="D110" s="45">
        <v>7.5</v>
      </c>
      <c r="E110" s="45">
        <v>7.5</v>
      </c>
      <c r="F110" s="46" t="s">
        <v>138</v>
      </c>
      <c r="G110" s="47">
        <v>7</v>
      </c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</row>
    <row r="111" spans="1:49" ht="15.75" customHeight="1" x14ac:dyDescent="0.35">
      <c r="A111" s="23"/>
      <c r="B111" s="23"/>
      <c r="C111" s="44" t="s">
        <v>143</v>
      </c>
      <c r="D111" s="45">
        <v>8</v>
      </c>
      <c r="E111" s="45">
        <v>0.5</v>
      </c>
      <c r="F111" s="46" t="s">
        <v>144</v>
      </c>
      <c r="G111" s="47">
        <v>3</v>
      </c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ht="15.75" customHeight="1" x14ac:dyDescent="0.35">
      <c r="A112" s="23"/>
      <c r="B112" s="23"/>
      <c r="C112" s="44" t="s">
        <v>148</v>
      </c>
      <c r="D112" s="45">
        <v>9</v>
      </c>
      <c r="E112" s="45">
        <v>1</v>
      </c>
      <c r="F112" s="46" t="s">
        <v>149</v>
      </c>
      <c r="G112" s="47">
        <v>4</v>
      </c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ht="15.75" customHeight="1" x14ac:dyDescent="0.35">
      <c r="A113" s="23"/>
      <c r="B113" s="23"/>
      <c r="C113" s="44" t="s">
        <v>153</v>
      </c>
      <c r="D113" s="45">
        <v>10</v>
      </c>
      <c r="E113" s="45">
        <v>1</v>
      </c>
      <c r="F113" s="46" t="s">
        <v>154</v>
      </c>
      <c r="G113" s="47">
        <v>4</v>
      </c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ht="15.75" customHeight="1" x14ac:dyDescent="0.35">
      <c r="A114" s="23"/>
      <c r="B114" s="23"/>
      <c r="C114" s="44" t="s">
        <v>158</v>
      </c>
      <c r="D114" s="45">
        <v>11</v>
      </c>
      <c r="E114" s="45">
        <v>1</v>
      </c>
      <c r="F114" s="46" t="s">
        <v>159</v>
      </c>
      <c r="G114" s="47">
        <v>8</v>
      </c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5" spans="1:49" ht="15.75" customHeight="1" x14ac:dyDescent="0.35">
      <c r="A115" s="23"/>
      <c r="B115" s="23"/>
      <c r="C115" s="44" t="s">
        <v>163</v>
      </c>
      <c r="D115" s="45">
        <v>12</v>
      </c>
      <c r="E115" s="45">
        <v>1</v>
      </c>
      <c r="F115" s="46" t="s">
        <v>164</v>
      </c>
      <c r="G115" s="47">
        <v>5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</row>
    <row r="116" spans="1:49" ht="15.75" customHeight="1" x14ac:dyDescent="0.35">
      <c r="A116" s="23"/>
      <c r="B116" s="23"/>
      <c r="C116" s="44" t="s">
        <v>167</v>
      </c>
      <c r="D116" s="45">
        <v>14</v>
      </c>
      <c r="E116" s="45">
        <v>2</v>
      </c>
      <c r="F116" s="46" t="s">
        <v>168</v>
      </c>
      <c r="G116" s="47">
        <v>7</v>
      </c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</row>
    <row r="117" spans="1:49" ht="15.75" customHeight="1" x14ac:dyDescent="0.35">
      <c r="A117" s="23"/>
      <c r="B117" s="23"/>
      <c r="C117" s="44" t="s">
        <v>169</v>
      </c>
      <c r="D117" s="45">
        <v>14.5</v>
      </c>
      <c r="E117" s="45">
        <v>0.5</v>
      </c>
      <c r="F117" s="46" t="s">
        <v>170</v>
      </c>
      <c r="G117" s="47">
        <v>3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</row>
    <row r="118" spans="1:49" ht="15.75" customHeight="1" x14ac:dyDescent="0.35">
      <c r="A118" s="23"/>
      <c r="B118" s="23"/>
      <c r="C118" s="44" t="s">
        <v>171</v>
      </c>
      <c r="D118" s="45">
        <v>15</v>
      </c>
      <c r="E118" s="45">
        <v>0.5</v>
      </c>
      <c r="F118" s="46" t="s">
        <v>172</v>
      </c>
      <c r="G118" s="47">
        <v>1</v>
      </c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 ht="15.7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</row>
    <row r="120" spans="1:49" ht="15.7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</row>
    <row r="121" spans="1:49" ht="15.7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</row>
    <row r="122" spans="1:49" ht="15.7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</row>
    <row r="123" spans="1:49" ht="15.7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</row>
    <row r="124" spans="1:49" ht="15.7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</row>
    <row r="125" spans="1:49" ht="15.7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</row>
    <row r="126" spans="1:49" ht="15.7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</row>
    <row r="127" spans="1:49" ht="15.7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ht="15.7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</row>
    <row r="129" spans="1:49" ht="15.7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49" ht="15.7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</row>
    <row r="131" spans="1:49" ht="15.7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</row>
    <row r="132" spans="1:49" ht="15.7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</row>
    <row r="133" spans="1:49" ht="15.7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</row>
    <row r="134" spans="1:49" ht="15.7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</row>
    <row r="135" spans="1:49" ht="15.7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</row>
    <row r="136" spans="1:49" ht="15.7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</row>
    <row r="137" spans="1:49" ht="15.7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.7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1:49" ht="15.7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</row>
    <row r="140" spans="1:49" ht="15.7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</row>
    <row r="141" spans="1:49" ht="15.7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</row>
    <row r="142" spans="1:49" ht="15.7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</row>
    <row r="143" spans="1:49" ht="15.7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</row>
    <row r="144" spans="1:49" ht="15.7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ht="15.7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</row>
    <row r="146" spans="1:49" ht="15.7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</row>
    <row r="147" spans="1:49" ht="15.7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</row>
    <row r="148" spans="1:49" ht="15.7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49" ht="15.7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</row>
    <row r="150" spans="1:49" ht="15.7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</row>
    <row r="151" spans="1:49" ht="15.7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</row>
    <row r="152" spans="1:49" ht="15.7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</row>
    <row r="153" spans="1:49" ht="15.7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</row>
    <row r="154" spans="1:49" ht="15.7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</row>
    <row r="155" spans="1:49" ht="15.7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</row>
    <row r="156" spans="1:49" ht="15.7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</row>
    <row r="157" spans="1:49" ht="15.7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</row>
    <row r="158" spans="1:49" ht="15.7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</row>
    <row r="159" spans="1:49" ht="15.7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</row>
    <row r="160" spans="1:49" ht="15.7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</row>
    <row r="161" spans="1:49" ht="15.7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</row>
    <row r="162" spans="1:49" ht="15.7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</row>
    <row r="163" spans="1:49" ht="15.7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</row>
    <row r="164" spans="1:49" ht="15.7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</row>
    <row r="165" spans="1:49" ht="15.7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49" ht="15.7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 ht="15.7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</row>
    <row r="168" spans="1:49" ht="15.7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49" ht="15.7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</row>
    <row r="170" spans="1:49" ht="15.7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</row>
    <row r="171" spans="1:49" ht="15.7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</row>
    <row r="172" spans="1:49" ht="15.7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</row>
    <row r="173" spans="1:49" ht="15.7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</row>
    <row r="174" spans="1:49" ht="15.7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</row>
    <row r="175" spans="1:49" ht="15.7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</row>
    <row r="176" spans="1:49" ht="15.7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</row>
    <row r="177" spans="1:49" ht="15.7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</row>
    <row r="178" spans="1:49" ht="15.7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</row>
    <row r="179" spans="1:49" ht="15.7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</row>
    <row r="180" spans="1:49" ht="15.7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</row>
    <row r="181" spans="1:49" ht="15.7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</row>
    <row r="182" spans="1:49" ht="15.7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</row>
    <row r="183" spans="1:49" ht="15.7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</row>
    <row r="184" spans="1:49" ht="15.7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</row>
    <row r="185" spans="1:49" ht="15.7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</row>
    <row r="186" spans="1:49" ht="15.7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</row>
    <row r="187" spans="1:49" ht="15.7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ht="15.7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</row>
    <row r="189" spans="1:49" ht="15.7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</row>
    <row r="190" spans="1:49" ht="15.7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49" ht="15.7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49" ht="15.7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ht="15.7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</row>
    <row r="194" spans="1:49" ht="15.7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ht="15.7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</row>
    <row r="196" spans="1:49" ht="15.7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</row>
    <row r="197" spans="1:49" ht="15.7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</row>
    <row r="198" spans="1:49" ht="15.7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ht="15.7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ht="15.7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ht="15.7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ht="15.7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ht="15.7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ht="15.7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ht="15.7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</row>
    <row r="206" spans="1:49" ht="15.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ht="15.7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ht="15.7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ht="15.7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</row>
    <row r="210" spans="1:49" ht="15.7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ht="15.7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ht="15.7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ht="15.7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ht="15.7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</row>
    <row r="215" spans="1:49" ht="15.7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</row>
    <row r="216" spans="1:49" ht="15.7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ht="15.7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ht="15.7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ht="15.7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ht="15.7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ht="15.7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ht="15.7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</row>
    <row r="223" spans="1:49" ht="15.7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</row>
    <row r="224" spans="1:49" ht="15.7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</row>
    <row r="225" spans="1:49" ht="15.7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</row>
    <row r="226" spans="1:49" ht="15.7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</row>
    <row r="227" spans="1:49" ht="15.7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</row>
    <row r="228" spans="1:49" ht="15.7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</row>
    <row r="229" spans="1:49" ht="15.7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</row>
    <row r="230" spans="1:49" ht="15.7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49" ht="15.7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49" ht="15.7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49" ht="15.7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49" ht="15.7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</row>
    <row r="235" spans="1:49" ht="15.7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</row>
    <row r="236" spans="1:49" ht="15.7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</row>
    <row r="237" spans="1:49" ht="15.7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49" ht="15.7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49" ht="15.7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49" ht="15.7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</row>
    <row r="241" spans="1:49" ht="15.7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</row>
    <row r="242" spans="1:49" ht="15.7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ht="15.7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</row>
    <row r="244" spans="1:49" ht="15.7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</row>
    <row r="245" spans="1:49" ht="15.7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ht="15.7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</row>
    <row r="247" spans="1:49" ht="15.7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ht="15.7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ht="15.7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ht="15.7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ht="15.7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ht="15.7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ht="15.7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ht="15.7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</row>
    <row r="255" spans="1:49" ht="15.7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ht="15.7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</row>
    <row r="257" spans="1:49" ht="15.7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ht="15.7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ht="15.7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ht="15.7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</row>
    <row r="261" spans="1:49" ht="15.7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ht="15.7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</row>
    <row r="263" spans="1:49" ht="15.7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</row>
    <row r="264" spans="1:49" ht="15.7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</row>
    <row r="265" spans="1:49" ht="15.7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</row>
    <row r="266" spans="1:49" ht="15.7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</row>
    <row r="267" spans="1:49" ht="15.7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</row>
    <row r="268" spans="1:49" ht="15.7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</row>
    <row r="269" spans="1:49" ht="15.7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</row>
    <row r="270" spans="1:49" ht="15.7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</row>
    <row r="271" spans="1:49" ht="15.7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</row>
    <row r="272" spans="1:49" ht="15.7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</row>
    <row r="273" spans="1:49" ht="15.7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</row>
    <row r="274" spans="1:49" ht="15.7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</row>
    <row r="275" spans="1:49" ht="15.7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</row>
    <row r="276" spans="1:49" ht="15.7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</row>
    <row r="277" spans="1:49" ht="15.7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</row>
    <row r="278" spans="1:49" ht="15.7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</row>
    <row r="279" spans="1:49" ht="15.7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</row>
    <row r="280" spans="1:49" ht="15.7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</row>
    <row r="281" spans="1:49" ht="15.7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</row>
    <row r="282" spans="1:49" ht="15.7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</row>
    <row r="283" spans="1:49" ht="15.7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</row>
    <row r="284" spans="1:49" ht="15.7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</row>
    <row r="285" spans="1:49" ht="15.7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</row>
    <row r="286" spans="1:49" ht="15.7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</row>
    <row r="287" spans="1:49" ht="15.7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</row>
    <row r="288" spans="1:49" ht="15.7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</row>
    <row r="289" spans="1:49" ht="15.7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</row>
    <row r="290" spans="1:49" ht="15.7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</row>
    <row r="291" spans="1:49" ht="15.7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</row>
    <row r="292" spans="1:49" ht="15.7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</row>
    <row r="293" spans="1:49" ht="15.7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</row>
    <row r="294" spans="1:49" ht="15.7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</row>
    <row r="295" spans="1:49" ht="15.7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</row>
    <row r="296" spans="1:49" ht="15.7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</row>
    <row r="297" spans="1:49" ht="15.7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</row>
    <row r="298" spans="1:49" ht="15.7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</row>
    <row r="299" spans="1:49" ht="15.7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</row>
    <row r="300" spans="1:49" ht="15.7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</row>
    <row r="301" spans="1:49" ht="15.7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</row>
    <row r="302" spans="1:49" ht="15.7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</row>
    <row r="303" spans="1:49" ht="15.7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</row>
    <row r="304" spans="1:49" ht="15.7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</row>
    <row r="305" spans="1:49" ht="15.7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</row>
    <row r="306" spans="1:49" ht="15.7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</row>
    <row r="307" spans="1:49" ht="15.7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</row>
    <row r="308" spans="1:49" ht="15.7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</row>
    <row r="309" spans="1:49" ht="15.7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</row>
    <row r="310" spans="1:49" ht="15.7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</row>
    <row r="311" spans="1:49" ht="15.7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</row>
    <row r="312" spans="1:49" ht="15.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</row>
    <row r="313" spans="1:49" ht="15.7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</row>
    <row r="314" spans="1:49" ht="15.7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</row>
    <row r="315" spans="1:49" ht="15.7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</row>
    <row r="316" spans="1:49" ht="15.7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</row>
    <row r="317" spans="1:49" ht="15.7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</row>
    <row r="318" spans="1:49" ht="15.7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</row>
    <row r="319" spans="1:49" ht="15.7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</row>
    <row r="320" spans="1:49" ht="15.7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</row>
    <row r="321" spans="1:49" ht="15.7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</row>
    <row r="322" spans="1:49" ht="15.7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</row>
    <row r="323" spans="1:49" ht="15.7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</row>
    <row r="324" spans="1:49" ht="15.7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</row>
    <row r="325" spans="1:49" ht="15.7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</row>
    <row r="326" spans="1:49" ht="15.7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</row>
    <row r="327" spans="1:49" ht="15.7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</row>
    <row r="328" spans="1:49" ht="15.7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</row>
    <row r="329" spans="1:49" ht="15.7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</row>
    <row r="330" spans="1:49" ht="15.7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</row>
    <row r="331" spans="1:49" ht="15.7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</row>
    <row r="332" spans="1:49" ht="15.7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</row>
    <row r="333" spans="1:49" ht="15.7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</row>
    <row r="334" spans="1:49" ht="15.7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</row>
    <row r="335" spans="1:49" ht="15.7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</row>
    <row r="336" spans="1:49" ht="15.7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</row>
    <row r="337" spans="1:49" ht="15.7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</row>
    <row r="338" spans="1:49" ht="15.7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</row>
    <row r="339" spans="1:49" ht="15.7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</row>
    <row r="340" spans="1:49" ht="15.7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</row>
    <row r="341" spans="1:49" ht="15.7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</row>
    <row r="342" spans="1:49" ht="15.7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</row>
    <row r="343" spans="1:49" ht="15.7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</row>
    <row r="344" spans="1:49" ht="15.7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</row>
    <row r="345" spans="1:49" ht="15.7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</row>
    <row r="346" spans="1:49" ht="15.7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</row>
    <row r="347" spans="1:49" ht="15.7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</row>
    <row r="348" spans="1:49" ht="15.7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</row>
    <row r="349" spans="1:49" ht="15.7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</row>
    <row r="350" spans="1:49" ht="15.7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</row>
    <row r="351" spans="1:49" ht="15.7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</row>
    <row r="352" spans="1:49" ht="15.7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</row>
    <row r="353" spans="1:49" ht="15.7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</row>
    <row r="354" spans="1:49" ht="15.7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</row>
    <row r="355" spans="1:49" ht="15.7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</row>
    <row r="356" spans="1:49" ht="15.7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</row>
    <row r="357" spans="1:49" ht="15.7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</row>
    <row r="358" spans="1:49" ht="15.7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</row>
    <row r="359" spans="1:49" ht="15.7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</row>
    <row r="360" spans="1:49" ht="15.7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</row>
    <row r="361" spans="1:49" ht="15.7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</row>
    <row r="362" spans="1:49" ht="15.7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</row>
    <row r="363" spans="1:49" ht="15.7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</row>
    <row r="364" spans="1:49" ht="15.7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</row>
    <row r="365" spans="1:49" ht="15.7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</row>
    <row r="366" spans="1:49" ht="15.7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</row>
    <row r="367" spans="1:49" ht="15.7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</row>
    <row r="368" spans="1:49" ht="15.7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</row>
    <row r="369" spans="1:49" ht="15.7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</row>
    <row r="370" spans="1:49" ht="15.7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</row>
    <row r="371" spans="1:49" ht="15.7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</row>
    <row r="372" spans="1:49" ht="15.7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</row>
    <row r="373" spans="1:49" ht="15.7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</row>
    <row r="374" spans="1:49" ht="15.7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</row>
    <row r="375" spans="1:49" ht="15.7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</row>
    <row r="376" spans="1:49" ht="15.7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</row>
    <row r="377" spans="1:49" ht="15.7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</row>
    <row r="378" spans="1:49" ht="15.7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</row>
    <row r="379" spans="1:49" ht="15.7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</row>
    <row r="380" spans="1:49" ht="15.7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</row>
    <row r="381" spans="1:49" ht="15.7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</row>
    <row r="382" spans="1:49" ht="15.7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</row>
    <row r="383" spans="1:49" ht="15.7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</row>
    <row r="384" spans="1:49" ht="15.7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</row>
    <row r="385" spans="1:49" ht="15.7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</row>
    <row r="386" spans="1:49" ht="15.7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</row>
    <row r="387" spans="1:49" ht="15.7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</row>
    <row r="388" spans="1:49" ht="15.7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</row>
    <row r="389" spans="1:49" ht="15.7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</row>
    <row r="390" spans="1:49" ht="15.7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</row>
    <row r="391" spans="1:49" ht="15.7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</row>
    <row r="392" spans="1:49" ht="15.7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</row>
    <row r="393" spans="1:49" ht="15.7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</row>
    <row r="394" spans="1:49" ht="15.7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</row>
    <row r="395" spans="1:49" ht="15.7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</row>
    <row r="396" spans="1:49" ht="15.7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</row>
    <row r="397" spans="1:49" ht="15.7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</row>
    <row r="398" spans="1:49" ht="15.7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</row>
    <row r="399" spans="1:49" ht="15.7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</row>
    <row r="400" spans="1:49" ht="15.7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</row>
    <row r="401" spans="1:49" ht="15.7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</row>
    <row r="402" spans="1:49" ht="15.7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</row>
    <row r="403" spans="1:49" ht="15.7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</row>
    <row r="404" spans="1:49" ht="15.7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</row>
    <row r="405" spans="1:49" ht="15.7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</row>
    <row r="406" spans="1:49" ht="15.7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</row>
    <row r="407" spans="1:49" ht="15.7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</row>
    <row r="408" spans="1:49" ht="15.7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</row>
    <row r="409" spans="1:49" ht="15.7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</row>
    <row r="410" spans="1:49" ht="15.7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</row>
    <row r="411" spans="1:49" ht="15.7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</row>
    <row r="412" spans="1:49" ht="15.7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</row>
    <row r="413" spans="1:49" ht="15.7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</row>
    <row r="414" spans="1:49" ht="15.7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</row>
    <row r="415" spans="1:49" ht="15.7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</row>
    <row r="416" spans="1:49" ht="15.7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</row>
    <row r="417" spans="1:49" ht="15.7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</row>
    <row r="418" spans="1:49" ht="15.7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</row>
    <row r="419" spans="1:49" ht="15.7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</row>
    <row r="420" spans="1:49" ht="15.7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</row>
    <row r="421" spans="1:49" ht="15.7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</row>
    <row r="422" spans="1:49" ht="15.7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</row>
    <row r="423" spans="1:49" ht="15.7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</row>
    <row r="424" spans="1:49" ht="15.7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</row>
    <row r="425" spans="1:49" ht="15.7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</row>
    <row r="426" spans="1:49" ht="15.7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</row>
    <row r="427" spans="1:49" ht="15.7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</row>
    <row r="428" spans="1:49" ht="15.7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</row>
    <row r="429" spans="1:49" ht="15.7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</row>
    <row r="430" spans="1:49" ht="15.7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</row>
    <row r="431" spans="1:49" ht="15.7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</row>
    <row r="432" spans="1:49" ht="15.7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</row>
    <row r="433" spans="1:49" ht="15.7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</row>
    <row r="434" spans="1:49" ht="15.7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</row>
    <row r="435" spans="1:49" ht="15.7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</row>
    <row r="436" spans="1:49" ht="15.7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</row>
    <row r="437" spans="1:49" ht="15.7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</row>
    <row r="438" spans="1:49" ht="15.7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</row>
    <row r="439" spans="1:49" ht="15.7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</row>
    <row r="440" spans="1:49" ht="15.7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</row>
    <row r="441" spans="1:49" ht="15.7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</row>
    <row r="442" spans="1:49" ht="15.7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</row>
    <row r="443" spans="1:49" ht="15.7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</row>
    <row r="444" spans="1:49" ht="15.7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</row>
    <row r="445" spans="1:49" ht="15.7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</row>
    <row r="446" spans="1:49" ht="15.7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</row>
    <row r="447" spans="1:49" ht="15.7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</row>
    <row r="448" spans="1:49" ht="15.7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</row>
    <row r="449" spans="1:49" ht="15.7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</row>
    <row r="450" spans="1:49" ht="15.7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</row>
    <row r="451" spans="1:49" ht="15.7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</row>
    <row r="452" spans="1:49" ht="15.7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</row>
    <row r="453" spans="1:49" ht="15.7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</row>
    <row r="454" spans="1:49" ht="15.7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</row>
    <row r="455" spans="1:49" ht="15.7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</row>
    <row r="456" spans="1:49" ht="15.7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</row>
    <row r="457" spans="1:49" ht="15.7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</row>
    <row r="458" spans="1:49" ht="15.7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</row>
    <row r="459" spans="1:49" ht="15.7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</row>
    <row r="460" spans="1:49" ht="15.7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</row>
    <row r="461" spans="1:49" ht="15.7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</row>
    <row r="462" spans="1:49" ht="15.7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</row>
    <row r="463" spans="1:49" ht="15.7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</row>
    <row r="464" spans="1:49" ht="15.7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</row>
    <row r="465" spans="1:49" ht="15.7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</row>
    <row r="466" spans="1:49" ht="15.7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</row>
    <row r="467" spans="1:49" ht="15.7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</row>
    <row r="468" spans="1:49" ht="15.7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</row>
    <row r="469" spans="1:49" ht="15.7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</row>
    <row r="470" spans="1:49" ht="15.7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</row>
    <row r="471" spans="1:49" ht="15.7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</row>
    <row r="472" spans="1:49" ht="15.7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</row>
    <row r="473" spans="1:49" ht="15.7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</row>
    <row r="474" spans="1:49" ht="15.7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</row>
    <row r="475" spans="1:49" ht="15.7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</row>
    <row r="476" spans="1:49" ht="15.7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</row>
    <row r="477" spans="1:49" ht="15.7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</row>
    <row r="478" spans="1:49" ht="15.7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</row>
    <row r="479" spans="1:49" ht="15.7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</row>
    <row r="480" spans="1:49" ht="15.7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</row>
    <row r="481" spans="1:49" ht="15.7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</row>
    <row r="482" spans="1:49" ht="15.7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</row>
    <row r="483" spans="1:49" ht="15.7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</row>
    <row r="484" spans="1:49" ht="15.7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</row>
    <row r="485" spans="1:49" ht="15.7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</row>
    <row r="486" spans="1:49" ht="15.7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</row>
    <row r="487" spans="1:49" ht="15.7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</row>
    <row r="488" spans="1:49" ht="15.7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</row>
    <row r="489" spans="1:49" ht="15.7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</row>
    <row r="490" spans="1:49" ht="15.7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</row>
    <row r="491" spans="1:49" ht="15.7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</row>
    <row r="492" spans="1:49" ht="15.7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</row>
    <row r="493" spans="1:49" ht="15.7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</row>
    <row r="494" spans="1:49" ht="15.7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</row>
    <row r="495" spans="1:49" ht="15.7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</row>
    <row r="496" spans="1:49" ht="15.7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</row>
    <row r="497" spans="1:49" ht="15.7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</row>
    <row r="498" spans="1:49" ht="15.7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</row>
    <row r="499" spans="1:49" ht="15.7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</row>
    <row r="500" spans="1:49" ht="15.7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</row>
    <row r="501" spans="1:49" ht="15.7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</row>
    <row r="502" spans="1:49" ht="15.7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</row>
    <row r="503" spans="1:49" ht="15.7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</row>
    <row r="504" spans="1:49" ht="15.7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</row>
    <row r="505" spans="1:49" ht="15.7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</row>
    <row r="506" spans="1:49" ht="15.7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</row>
    <row r="507" spans="1:49" ht="15.7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</row>
    <row r="508" spans="1:49" ht="15.7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</row>
    <row r="509" spans="1:49" ht="15.7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</row>
    <row r="510" spans="1:49" ht="15.7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</row>
    <row r="511" spans="1:49" ht="15.7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</row>
    <row r="512" spans="1:49" ht="15.7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</row>
    <row r="513" spans="1:49" ht="15.7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</row>
    <row r="514" spans="1:49" ht="15.7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</row>
    <row r="515" spans="1:49" ht="15.7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</row>
    <row r="516" spans="1:49" ht="15.7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</row>
    <row r="517" spans="1:49" ht="15.7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</row>
    <row r="518" spans="1:49" ht="15.7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</row>
    <row r="519" spans="1:49" ht="15.7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</row>
    <row r="520" spans="1:49" ht="15.7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</row>
    <row r="521" spans="1:49" ht="15.7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</row>
    <row r="522" spans="1:49" ht="15.7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</row>
    <row r="523" spans="1:49" ht="15.7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</row>
    <row r="524" spans="1:49" ht="15.7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</row>
    <row r="525" spans="1:49" ht="15.7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</row>
    <row r="526" spans="1:49" ht="15.7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</row>
    <row r="527" spans="1:49" ht="15.7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</row>
    <row r="528" spans="1:49" ht="15.7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</row>
    <row r="529" spans="1:49" ht="15.7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</row>
    <row r="530" spans="1:49" ht="15.7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</row>
    <row r="531" spans="1:49" ht="15.7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</row>
    <row r="532" spans="1:49" ht="15.7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</row>
    <row r="533" spans="1:49" ht="15.7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</row>
    <row r="534" spans="1:49" ht="15.7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</row>
    <row r="535" spans="1:49" ht="15.7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</row>
    <row r="536" spans="1:49" ht="15.7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</row>
    <row r="537" spans="1:49" ht="15.7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</row>
    <row r="538" spans="1:49" ht="15.7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</row>
    <row r="539" spans="1:49" ht="15.7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</row>
    <row r="540" spans="1:49" ht="15.7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</row>
    <row r="541" spans="1:49" ht="15.7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</row>
    <row r="542" spans="1:49" ht="15.7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</row>
    <row r="543" spans="1:49" ht="15.7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</row>
    <row r="544" spans="1:49" ht="15.7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</row>
    <row r="545" spans="1:49" ht="15.7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</row>
    <row r="546" spans="1:49" ht="15.7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</row>
    <row r="547" spans="1:49" ht="15.7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</row>
    <row r="548" spans="1:49" ht="15.7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</row>
    <row r="549" spans="1:49" ht="15.7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</row>
    <row r="550" spans="1:49" ht="15.7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</row>
    <row r="551" spans="1:49" ht="15.7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</row>
    <row r="552" spans="1:49" ht="15.7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</row>
    <row r="553" spans="1:49" ht="15.7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</row>
    <row r="554" spans="1:49" ht="15.7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</row>
    <row r="555" spans="1:49" ht="15.7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</row>
    <row r="556" spans="1:49" ht="15.7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</row>
    <row r="557" spans="1:49" ht="15.7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</row>
    <row r="558" spans="1:49" ht="15.7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</row>
    <row r="559" spans="1:49" ht="15.7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</row>
    <row r="560" spans="1:49" ht="15.7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</row>
    <row r="561" spans="1:49" ht="15.7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</row>
    <row r="562" spans="1:49" ht="15.7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</row>
    <row r="563" spans="1:49" ht="15.7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</row>
    <row r="564" spans="1:49" ht="15.7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</row>
    <row r="565" spans="1:49" ht="15.7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</row>
    <row r="566" spans="1:49" ht="15.7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</row>
    <row r="567" spans="1:49" ht="15.7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</row>
    <row r="568" spans="1:49" ht="15.7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</row>
    <row r="569" spans="1:49" ht="15.7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</row>
    <row r="570" spans="1:49" ht="15.7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</row>
    <row r="571" spans="1:49" ht="15.7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</row>
    <row r="572" spans="1:49" ht="15.7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</row>
    <row r="573" spans="1:49" ht="15.7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</row>
    <row r="574" spans="1:49" ht="15.7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</row>
    <row r="575" spans="1:49" ht="15.7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</row>
    <row r="576" spans="1:49" ht="15.7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</row>
    <row r="577" spans="1:49" ht="15.7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</row>
    <row r="578" spans="1:49" ht="15.7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</row>
    <row r="579" spans="1:49" ht="15.7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</row>
    <row r="580" spans="1:49" ht="15.7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</row>
    <row r="581" spans="1:49" ht="15.7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</row>
    <row r="582" spans="1:49" ht="15.7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</row>
    <row r="583" spans="1:49" ht="15.7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</row>
    <row r="584" spans="1:49" ht="15.7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</row>
    <row r="585" spans="1:49" ht="15.7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</row>
    <row r="586" spans="1:49" ht="15.7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</row>
    <row r="587" spans="1:49" ht="15.7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</row>
    <row r="588" spans="1:49" ht="15.7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</row>
    <row r="589" spans="1:49" ht="15.7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</row>
    <row r="590" spans="1:49" ht="15.7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</row>
    <row r="591" spans="1:49" ht="15.7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</row>
    <row r="592" spans="1:49" ht="15.7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</row>
    <row r="593" spans="1:49" ht="15.7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</row>
    <row r="594" spans="1:49" ht="15.7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</row>
    <row r="595" spans="1:49" ht="15.7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</row>
    <row r="596" spans="1:49" ht="15.7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</row>
    <row r="597" spans="1:49" ht="15.7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</row>
    <row r="598" spans="1:49" ht="15.7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</row>
    <row r="599" spans="1:49" ht="15.7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</row>
    <row r="600" spans="1:49" ht="15.7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</row>
    <row r="601" spans="1:49" ht="15.7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</row>
    <row r="602" spans="1:49" ht="15.7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</row>
    <row r="603" spans="1:49" ht="15.7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</row>
    <row r="604" spans="1:49" ht="15.7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</row>
    <row r="605" spans="1:49" ht="15.7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</row>
    <row r="606" spans="1:49" ht="15.7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</row>
    <row r="607" spans="1:49" ht="15.7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</row>
    <row r="608" spans="1:49" ht="15.7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</row>
    <row r="609" spans="1:49" ht="15.7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</row>
    <row r="610" spans="1:49" ht="15.7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</row>
    <row r="611" spans="1:49" ht="15.7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</row>
    <row r="612" spans="1:49" ht="15.7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</row>
    <row r="613" spans="1:49" ht="15.7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</row>
    <row r="614" spans="1:49" ht="15.7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</row>
    <row r="615" spans="1:49" ht="15.7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</row>
    <row r="616" spans="1:49" ht="15.7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</row>
    <row r="617" spans="1:49" ht="15.7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</row>
    <row r="618" spans="1:49" ht="15.7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</row>
    <row r="619" spans="1:49" ht="15.7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</row>
    <row r="620" spans="1:49" ht="15.7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</row>
    <row r="621" spans="1:49" ht="15.7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</row>
    <row r="622" spans="1:49" ht="15.7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</row>
    <row r="623" spans="1:49" ht="15.7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</row>
    <row r="624" spans="1:49" ht="15.7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</row>
    <row r="625" spans="1:49" ht="15.7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</row>
    <row r="626" spans="1:49" ht="15.7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</row>
    <row r="627" spans="1:49" ht="15.7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</row>
    <row r="628" spans="1:49" ht="15.7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</row>
    <row r="629" spans="1:49" ht="15.7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</row>
    <row r="630" spans="1:49" ht="15.7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</row>
    <row r="631" spans="1:49" ht="15.7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</row>
    <row r="632" spans="1:49" ht="15.7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</row>
    <row r="633" spans="1:49" ht="15.7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</row>
    <row r="634" spans="1:49" ht="15.7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</row>
    <row r="635" spans="1:49" ht="15.7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</row>
    <row r="636" spans="1:49" ht="15.7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</row>
    <row r="637" spans="1:49" ht="15.7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</row>
    <row r="638" spans="1:49" ht="15.7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</row>
    <row r="639" spans="1:49" ht="15.7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</row>
    <row r="640" spans="1:49" ht="15.7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</row>
    <row r="641" spans="1:49" ht="15.7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</row>
    <row r="642" spans="1:49" ht="15.7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</row>
    <row r="643" spans="1:49" ht="15.7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</row>
    <row r="644" spans="1:49" ht="15.7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</row>
    <row r="645" spans="1:49" ht="15.7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</row>
    <row r="646" spans="1:49" ht="15.7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</row>
    <row r="647" spans="1:49" ht="15.7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</row>
    <row r="648" spans="1:49" ht="15.7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</row>
    <row r="649" spans="1:49" ht="15.7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</row>
    <row r="650" spans="1:49" ht="15.7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</row>
    <row r="651" spans="1:49" ht="15.7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</row>
    <row r="652" spans="1:49" ht="15.7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</row>
    <row r="653" spans="1:49" ht="15.7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</row>
    <row r="654" spans="1:49" ht="15.7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</row>
    <row r="655" spans="1:49" ht="15.7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</row>
    <row r="656" spans="1:49" ht="15.7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</row>
    <row r="657" spans="1:49" ht="15.7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</row>
    <row r="658" spans="1:49" ht="15.7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</row>
    <row r="659" spans="1:49" ht="15.7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</row>
    <row r="660" spans="1:49" ht="15.7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</row>
    <row r="661" spans="1:49" ht="15.7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</row>
    <row r="662" spans="1:49" ht="15.7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</row>
    <row r="663" spans="1:49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</row>
    <row r="664" spans="1:49" ht="15.7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</row>
    <row r="665" spans="1:49" ht="15.7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</row>
    <row r="666" spans="1:49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</row>
    <row r="667" spans="1:49" ht="15.7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</row>
    <row r="668" spans="1:49" ht="15.7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</row>
    <row r="669" spans="1:49" ht="15.7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</row>
    <row r="670" spans="1:49" ht="15.7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</row>
    <row r="671" spans="1:49" ht="15.7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</row>
    <row r="672" spans="1:49" ht="15.7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</row>
    <row r="673" spans="1:49" ht="15.7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</row>
    <row r="674" spans="1:49" ht="15.7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</row>
    <row r="675" spans="1:49" ht="15.7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</row>
    <row r="676" spans="1:49" ht="15.7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</row>
    <row r="677" spans="1:49" ht="15.7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</row>
    <row r="678" spans="1:49" ht="15.7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</row>
    <row r="679" spans="1:49" ht="15.7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</row>
    <row r="680" spans="1:49" ht="15.7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</row>
    <row r="681" spans="1:49" ht="15.7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</row>
    <row r="682" spans="1:49" ht="15.7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</row>
    <row r="683" spans="1:49" ht="15.7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</row>
    <row r="684" spans="1:49" ht="15.7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</row>
    <row r="685" spans="1:49" ht="15.7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</row>
    <row r="686" spans="1:49" ht="15.7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</row>
    <row r="687" spans="1:49" ht="15.7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</row>
    <row r="688" spans="1:49" ht="15.7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</row>
    <row r="689" spans="1:49" ht="15.7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</row>
    <row r="690" spans="1:49" ht="15.7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</row>
    <row r="691" spans="1:49" ht="15.7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</row>
    <row r="692" spans="1:49" ht="15.7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</row>
    <row r="693" spans="1:49" ht="15.7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</row>
    <row r="694" spans="1:49" ht="15.7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</row>
    <row r="695" spans="1:49" ht="15.7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</row>
    <row r="696" spans="1:49" ht="15.7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</row>
    <row r="697" spans="1:49" ht="15.7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</row>
    <row r="698" spans="1:49" ht="15.7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</row>
    <row r="699" spans="1:49" ht="15.7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</row>
    <row r="700" spans="1:49" ht="15.7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</row>
    <row r="701" spans="1:49" ht="15.7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</row>
    <row r="702" spans="1:49" ht="15.7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</row>
    <row r="703" spans="1:49" ht="15.7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</row>
    <row r="704" spans="1:49" ht="15.7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</row>
    <row r="705" spans="1:49" ht="15.7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</row>
    <row r="706" spans="1:49" ht="15.7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</row>
    <row r="707" spans="1:49" ht="15.7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</row>
    <row r="708" spans="1:49" ht="15.7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</row>
    <row r="709" spans="1:49" ht="15.7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</row>
    <row r="710" spans="1:49" ht="15.7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</row>
    <row r="711" spans="1:49" ht="15.7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</row>
    <row r="712" spans="1:49" ht="15.7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</row>
    <row r="713" spans="1:49" ht="15.7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</row>
    <row r="714" spans="1:49" ht="15.7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</row>
    <row r="715" spans="1:49" ht="15.7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</row>
    <row r="716" spans="1:49" ht="15.7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</row>
    <row r="717" spans="1:49" ht="15.7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</row>
    <row r="718" spans="1:49" ht="15.7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</row>
    <row r="719" spans="1:49" ht="15.7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</row>
    <row r="720" spans="1:49" ht="15.7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</row>
    <row r="721" spans="1:49" ht="15.7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</row>
    <row r="722" spans="1:49" ht="15.7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</row>
    <row r="723" spans="1:49" ht="15.7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</row>
    <row r="724" spans="1:49" ht="15.7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</row>
    <row r="725" spans="1:49" ht="15.7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</row>
    <row r="726" spans="1:49" ht="15.7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</row>
    <row r="727" spans="1:49" ht="15.7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</row>
    <row r="728" spans="1:49" ht="15.7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</row>
    <row r="729" spans="1:49" ht="15.7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</row>
    <row r="730" spans="1:49" ht="15.7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</row>
    <row r="731" spans="1:49" ht="15.7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</row>
    <row r="732" spans="1:49" ht="15.7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</row>
    <row r="733" spans="1:49" ht="15.7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</row>
    <row r="734" spans="1:49" ht="15.7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</row>
    <row r="735" spans="1:49" ht="15.7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</row>
    <row r="736" spans="1:49" ht="15.7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</row>
    <row r="737" spans="1:49" ht="15.7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</row>
    <row r="738" spans="1:49" ht="15.7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</row>
    <row r="739" spans="1:49" ht="15.7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</row>
    <row r="740" spans="1:49" ht="15.7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</row>
    <row r="741" spans="1:49" ht="15.7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</row>
    <row r="742" spans="1:49" ht="15.7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</row>
    <row r="743" spans="1:49" ht="15.7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</row>
    <row r="744" spans="1:49" ht="15.7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</row>
    <row r="745" spans="1:49" ht="15.7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</row>
    <row r="746" spans="1:49" ht="15.7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</row>
    <row r="747" spans="1:49" ht="15.7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</row>
    <row r="748" spans="1:49" ht="15.7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</row>
    <row r="749" spans="1:49" ht="15.7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</row>
    <row r="750" spans="1:49" ht="15.7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</row>
    <row r="751" spans="1:49" ht="15.7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</row>
    <row r="752" spans="1:49" ht="15.7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</row>
    <row r="753" spans="1:49" ht="15.7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</row>
    <row r="754" spans="1:49" ht="15.7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</row>
    <row r="755" spans="1:49" ht="15.7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</row>
    <row r="756" spans="1:49" ht="15.7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</row>
    <row r="757" spans="1:49" ht="15.7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</row>
    <row r="758" spans="1:49" ht="15.7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</row>
    <row r="759" spans="1:49" ht="15.7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</row>
    <row r="760" spans="1:49" ht="15.7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</row>
    <row r="761" spans="1:49" ht="15.7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</row>
    <row r="762" spans="1:49" ht="15.7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</row>
    <row r="763" spans="1:49" ht="15.7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</row>
    <row r="764" spans="1:49" ht="15.7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</row>
    <row r="765" spans="1:49" ht="15.7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</row>
    <row r="766" spans="1:49" ht="15.7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</row>
    <row r="767" spans="1:49" ht="15.7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</row>
    <row r="768" spans="1:49" ht="15.7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</row>
    <row r="769" spans="1:49" ht="15.7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</row>
    <row r="770" spans="1:49" ht="15.7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</row>
    <row r="771" spans="1:49" ht="15.7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</row>
    <row r="772" spans="1:49" ht="15.7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</row>
    <row r="773" spans="1:49" ht="15.7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</row>
    <row r="774" spans="1:49" ht="15.7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</row>
    <row r="775" spans="1:49" ht="15.7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</row>
    <row r="776" spans="1:49" ht="15.7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</row>
    <row r="777" spans="1:49" ht="15.7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</row>
    <row r="778" spans="1:49" ht="15.7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</row>
    <row r="779" spans="1:49" ht="15.7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</row>
    <row r="780" spans="1:49" ht="15.7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</row>
    <row r="781" spans="1:49" ht="15.7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</row>
    <row r="782" spans="1:49" ht="15.7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</row>
    <row r="783" spans="1:49" ht="15.7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</row>
    <row r="784" spans="1:49" ht="15.7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</row>
    <row r="785" spans="1:49" ht="15.7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</row>
    <row r="786" spans="1:49" ht="15.7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</row>
    <row r="787" spans="1:49" ht="15.7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</row>
    <row r="788" spans="1:49" ht="15.7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</row>
    <row r="789" spans="1:49" ht="15.7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</row>
    <row r="790" spans="1:49" ht="15.7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</row>
    <row r="791" spans="1:49" ht="15.7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</row>
    <row r="792" spans="1:49" ht="15.7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</row>
    <row r="793" spans="1:49" ht="15.7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</row>
    <row r="794" spans="1:49" ht="15.7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</row>
    <row r="795" spans="1:49" ht="15.7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</row>
    <row r="796" spans="1:49" ht="15.7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</row>
    <row r="797" spans="1:49" ht="15.7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</row>
    <row r="798" spans="1:49" ht="15.7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</row>
    <row r="799" spans="1:49" ht="15.7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</row>
    <row r="800" spans="1:49" ht="15.7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</row>
    <row r="801" spans="1:49" ht="15.7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</row>
    <row r="802" spans="1:49" ht="15.7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</row>
    <row r="803" spans="1:49" ht="15.7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</row>
    <row r="804" spans="1:49" ht="15.7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</row>
    <row r="805" spans="1:49" ht="15.7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</row>
    <row r="806" spans="1:49" ht="15.7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</row>
    <row r="807" spans="1:49" ht="15.7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</row>
    <row r="808" spans="1:49" ht="15.7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</row>
    <row r="809" spans="1:49" ht="15.7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</row>
    <row r="810" spans="1:49" ht="15.7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</row>
    <row r="811" spans="1:49" ht="15.7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</row>
    <row r="812" spans="1:49" ht="15.7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</row>
    <row r="813" spans="1:49" ht="15.7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</row>
    <row r="814" spans="1:49" ht="15.7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</row>
    <row r="815" spans="1:49" ht="15.7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</row>
    <row r="816" spans="1:49" ht="15.7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</row>
    <row r="817" spans="1:49" ht="15.7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</row>
    <row r="818" spans="1:49" ht="15.7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</row>
    <row r="819" spans="1:49" ht="15.7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</row>
    <row r="820" spans="1:49" ht="15.7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</row>
    <row r="821" spans="1:49" ht="15.7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</row>
    <row r="822" spans="1:49" ht="15.7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</row>
    <row r="823" spans="1:49" ht="15.7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</row>
    <row r="824" spans="1:49" ht="15.7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</row>
    <row r="825" spans="1:49" ht="15.7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</row>
    <row r="826" spans="1:49" ht="15.7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</row>
    <row r="827" spans="1:49" ht="15.7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</row>
    <row r="828" spans="1:49" ht="15.7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</row>
    <row r="829" spans="1:49" ht="15.7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</row>
    <row r="830" spans="1:49" ht="15.7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</row>
    <row r="831" spans="1:49" ht="15.7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</row>
    <row r="832" spans="1:49" ht="15.7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</row>
    <row r="833" spans="1:49" ht="15.7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</row>
    <row r="834" spans="1:49" ht="15.7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</row>
    <row r="835" spans="1:49" ht="15.7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</row>
    <row r="836" spans="1:49" ht="15.7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</row>
    <row r="837" spans="1:49" ht="15.7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</row>
    <row r="838" spans="1:49" ht="15.7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</row>
    <row r="839" spans="1:49" ht="15.7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</row>
    <row r="840" spans="1:49" ht="15.7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</row>
    <row r="841" spans="1:49" ht="15.7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</row>
    <row r="842" spans="1:49" ht="15.7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</row>
    <row r="843" spans="1:49" ht="15.7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</row>
    <row r="844" spans="1:49" ht="15.7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</row>
    <row r="845" spans="1:49" ht="15.7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</row>
    <row r="846" spans="1:49" ht="15.7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</row>
    <row r="847" spans="1:49" ht="15.7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</row>
    <row r="848" spans="1:49" ht="15.7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</row>
    <row r="849" spans="1:49" ht="15.7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</row>
    <row r="850" spans="1:49" ht="15.7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</row>
    <row r="851" spans="1:49" ht="15.7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</row>
    <row r="852" spans="1:49" ht="15.7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</row>
    <row r="853" spans="1:49" ht="15.7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</row>
    <row r="854" spans="1:49" ht="15.7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</row>
    <row r="855" spans="1:49" ht="15.7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</row>
    <row r="856" spans="1:49" ht="15.7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</row>
    <row r="857" spans="1:49" ht="15.7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</row>
    <row r="858" spans="1:49" ht="15.7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</row>
    <row r="859" spans="1:49" ht="15.7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</row>
    <row r="860" spans="1:49" ht="15.7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</row>
    <row r="861" spans="1:49" ht="15.7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</row>
    <row r="862" spans="1:49" ht="15.7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</row>
    <row r="863" spans="1:49" ht="15.7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</row>
    <row r="864" spans="1:49" ht="15.7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</row>
    <row r="865" spans="1:49" ht="15.7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</row>
    <row r="866" spans="1:49" ht="15.7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</row>
    <row r="867" spans="1:49" ht="15.7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</row>
    <row r="868" spans="1:49" ht="15.7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</row>
    <row r="869" spans="1:49" ht="15.7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</row>
    <row r="870" spans="1:49" ht="15.7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</row>
    <row r="871" spans="1:49" ht="15.7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</row>
    <row r="872" spans="1:49" ht="15.7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</row>
    <row r="873" spans="1:49" ht="15.7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</row>
    <row r="874" spans="1:49" ht="15.7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</row>
    <row r="875" spans="1:49" ht="15.7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</row>
    <row r="876" spans="1:49" ht="15.7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</row>
    <row r="877" spans="1:49" ht="15.7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</row>
    <row r="878" spans="1:49" ht="15.7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</row>
    <row r="879" spans="1:49" ht="15.7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</row>
    <row r="880" spans="1:49" ht="15.7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</row>
    <row r="881" spans="1:49" ht="15.7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</row>
    <row r="882" spans="1:49" ht="15.7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</row>
    <row r="883" spans="1:49" ht="15.7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</row>
    <row r="884" spans="1:49" ht="15.7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</row>
    <row r="885" spans="1:49" ht="15.7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</row>
    <row r="886" spans="1:49" ht="15.7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</row>
    <row r="887" spans="1:49" ht="15.7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</row>
    <row r="888" spans="1:49" ht="15.7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</row>
    <row r="889" spans="1:49" ht="15.7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</row>
    <row r="890" spans="1:49" ht="15.7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</row>
    <row r="891" spans="1:49" ht="15.7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</row>
    <row r="892" spans="1:49" ht="15.7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</row>
    <row r="893" spans="1:49" ht="15.7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</row>
    <row r="894" spans="1:49" ht="15.7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</row>
    <row r="895" spans="1:49" ht="15.7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</row>
    <row r="896" spans="1:49" ht="15.7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</row>
    <row r="897" spans="1:49" ht="15.7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</row>
    <row r="898" spans="1:49" ht="15.7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</row>
    <row r="899" spans="1:49" ht="15.7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</row>
    <row r="900" spans="1:49" ht="15.7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</row>
    <row r="901" spans="1:49" ht="15.7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</row>
    <row r="902" spans="1:49" ht="15.7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</row>
    <row r="903" spans="1:49" ht="15.7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</row>
    <row r="904" spans="1:49" ht="15.7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</row>
    <row r="905" spans="1:49" ht="15.7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</row>
    <row r="906" spans="1:49" ht="15.7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</row>
    <row r="907" spans="1:49" ht="15.7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</row>
    <row r="908" spans="1:49" ht="15.7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</row>
    <row r="909" spans="1:49" ht="15.7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</row>
    <row r="910" spans="1:49" ht="15.7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</row>
    <row r="911" spans="1:49" ht="15.7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</row>
    <row r="912" spans="1:49" ht="15.7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</row>
    <row r="913" spans="1:49" ht="15.7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</row>
    <row r="914" spans="1:49" ht="15.7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</row>
    <row r="915" spans="1:49" ht="15.7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</row>
    <row r="916" spans="1:49" ht="15.7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</row>
    <row r="917" spans="1:49" ht="15.7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</row>
    <row r="918" spans="1:49" ht="15.7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</row>
    <row r="919" spans="1:49" ht="15.7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</row>
    <row r="920" spans="1:49" ht="15.7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</row>
    <row r="921" spans="1:49" ht="15.7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</row>
    <row r="922" spans="1:49" ht="15.7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</row>
    <row r="923" spans="1:49" ht="15.7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</row>
    <row r="924" spans="1:49" ht="15.7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</row>
    <row r="925" spans="1:49" ht="15.7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</row>
    <row r="926" spans="1:49" ht="15.7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</row>
    <row r="927" spans="1:49" ht="15.7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</row>
    <row r="928" spans="1:49" ht="15.7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</row>
    <row r="929" spans="1:49" ht="15.7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</row>
    <row r="930" spans="1:49" ht="15.7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</row>
    <row r="931" spans="1:49" ht="15.7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</row>
    <row r="932" spans="1:49" ht="15.7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</row>
    <row r="933" spans="1:49" ht="15.7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</row>
    <row r="934" spans="1:49" ht="15.7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</row>
    <row r="935" spans="1:49" ht="15.7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</row>
    <row r="936" spans="1:49" ht="15.7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</row>
    <row r="937" spans="1:49" ht="15.7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</row>
    <row r="938" spans="1:49" ht="15.7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</row>
    <row r="939" spans="1:49" ht="15.7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</row>
    <row r="940" spans="1:49" ht="15.7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</row>
    <row r="941" spans="1:49" ht="15.7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</row>
    <row r="942" spans="1:49" ht="15.7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</row>
    <row r="943" spans="1:49" ht="15.7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</row>
    <row r="944" spans="1:49" ht="15.7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</row>
    <row r="945" spans="1:49" ht="15.7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</row>
    <row r="946" spans="1:49" ht="15.7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</row>
    <row r="947" spans="1:49" ht="15.7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</row>
    <row r="948" spans="1:49" ht="15.7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</row>
    <row r="949" spans="1:49" ht="15.7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</row>
    <row r="950" spans="1:49" ht="15.7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</row>
    <row r="951" spans="1:49" ht="15.7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</row>
    <row r="952" spans="1:49" ht="15.7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</row>
    <row r="953" spans="1:49" ht="15.7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</row>
    <row r="954" spans="1:49" ht="15.7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</row>
    <row r="955" spans="1:49" ht="15.7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</row>
    <row r="956" spans="1:49" ht="15.7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</row>
    <row r="957" spans="1:49" ht="15.7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</row>
    <row r="958" spans="1:49" ht="15.7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</row>
    <row r="959" spans="1:49" ht="15.7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</row>
    <row r="960" spans="1:49" ht="15.7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</row>
    <row r="961" spans="1:49" ht="15.7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</row>
    <row r="962" spans="1:49" ht="15.7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</row>
    <row r="963" spans="1:49" ht="15.7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</row>
    <row r="964" spans="1:49" ht="15.7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</row>
    <row r="965" spans="1:49" ht="15.7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</row>
    <row r="966" spans="1:49" ht="15.7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</row>
    <row r="967" spans="1:49" ht="15.7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</row>
    <row r="968" spans="1:49" ht="15.7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</row>
    <row r="969" spans="1:49" ht="15.7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</row>
    <row r="970" spans="1:49" ht="15.7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</row>
    <row r="971" spans="1:49" ht="15.7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</row>
    <row r="972" spans="1:49" ht="15.7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</row>
    <row r="973" spans="1:49" ht="15.7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</row>
    <row r="974" spans="1:49" ht="15.7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</row>
    <row r="975" spans="1:49" ht="15.7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</row>
    <row r="976" spans="1:49" ht="15.7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</row>
    <row r="977" spans="1:49" ht="15.7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</row>
    <row r="978" spans="1:49" ht="15.7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</row>
    <row r="979" spans="1:49" ht="15.7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</row>
    <row r="980" spans="1:49" ht="15.7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</row>
    <row r="981" spans="1:49" ht="15.7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</row>
    <row r="982" spans="1:49" ht="15.7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</row>
    <row r="983" spans="1:49" ht="15.7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</row>
    <row r="984" spans="1:49" ht="15.7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</row>
    <row r="985" spans="1:49" ht="15.7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</row>
    <row r="986" spans="1:49" ht="15.7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</row>
    <row r="987" spans="1:49" ht="15.7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</row>
    <row r="988" spans="1:49" ht="15.7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</row>
    <row r="989" spans="1:49" ht="15.7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</row>
    <row r="990" spans="1:49" ht="15.7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</row>
    <row r="991" spans="1:49" ht="15.7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</row>
    <row r="992" spans="1:49" ht="15.7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</row>
    <row r="993" spans="1:49" ht="15.7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</row>
    <row r="994" spans="1:49" ht="15.7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</row>
    <row r="995" spans="1:49" ht="15.7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</row>
    <row r="996" spans="1:49" ht="15.7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</row>
    <row r="997" spans="1:49" ht="15.7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</row>
    <row r="998" spans="1:49" ht="15.7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</row>
    <row r="999" spans="1:49" ht="15.7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</row>
    <row r="1000" spans="1:49" ht="15.75" customHeight="1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</row>
    <row r="1001" spans="1:49" ht="15.75" customHeight="1" x14ac:dyDescent="0.3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</row>
    <row r="1002" spans="1:49" ht="15.75" customHeight="1" x14ac:dyDescent="0.3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</row>
    <row r="1003" spans="1:49" ht="15.75" customHeight="1" x14ac:dyDescent="0.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</row>
    <row r="1004" spans="1:49" ht="15.75" customHeight="1" x14ac:dyDescent="0.3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</row>
    <row r="1005" spans="1:49" ht="15.75" customHeight="1" x14ac:dyDescent="0.3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</row>
    <row r="1006" spans="1:49" ht="15.75" customHeight="1" x14ac:dyDescent="0.3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</row>
  </sheetData>
  <mergeCells count="34">
    <mergeCell ref="AI20:AM20"/>
    <mergeCell ref="D2:E2"/>
    <mergeCell ref="B3:B4"/>
    <mergeCell ref="D3:E3"/>
    <mergeCell ref="L3:L4"/>
    <mergeCell ref="D4:E4"/>
    <mergeCell ref="B5:B10"/>
    <mergeCell ref="D5:G5"/>
    <mergeCell ref="D10:E10"/>
    <mergeCell ref="D6:E6"/>
    <mergeCell ref="D7:E7"/>
    <mergeCell ref="H16:H25"/>
    <mergeCell ref="D8:E8"/>
    <mergeCell ref="D9:E9"/>
    <mergeCell ref="Q13:R13"/>
    <mergeCell ref="H14:I14"/>
    <mergeCell ref="AG44:AG45"/>
    <mergeCell ref="AG46:AG47"/>
    <mergeCell ref="AG48:AG49"/>
    <mergeCell ref="Q16:Q22"/>
    <mergeCell ref="Z16:Z20"/>
    <mergeCell ref="H30:H39"/>
    <mergeCell ref="H44:H53"/>
    <mergeCell ref="Q30:Q36"/>
    <mergeCell ref="Z30:Z34"/>
    <mergeCell ref="Q14:R14"/>
    <mergeCell ref="H59:H68"/>
    <mergeCell ref="H73:H82"/>
    <mergeCell ref="Z59:Z63"/>
    <mergeCell ref="Z73:Z77"/>
    <mergeCell ref="Q44:Q50"/>
    <mergeCell ref="Q59:Q65"/>
    <mergeCell ref="Q73:Q79"/>
    <mergeCell ref="Z44:Z48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9"/>
  <sheetViews>
    <sheetView topLeftCell="R62" zoomScale="77" zoomScaleNormal="77" workbookViewId="0">
      <selection activeCell="AA77" sqref="AA77"/>
    </sheetView>
  </sheetViews>
  <sheetFormatPr defaultColWidth="14.44140625" defaultRowHeight="15" customHeight="1" x14ac:dyDescent="0.3"/>
  <cols>
    <col min="1" max="1" width="4.6640625" customWidth="1"/>
    <col min="2" max="2" width="14.109375" customWidth="1"/>
    <col min="3" max="3" width="36.88671875" customWidth="1"/>
    <col min="4" max="4" width="14.109375" customWidth="1"/>
    <col min="5" max="5" width="11" customWidth="1"/>
    <col min="6" max="6" width="9.109375" customWidth="1"/>
    <col min="7" max="7" width="12.33203125" customWidth="1"/>
    <col min="8" max="8" width="16.33203125" customWidth="1"/>
    <col min="9" max="9" width="16.109375" customWidth="1"/>
    <col min="10" max="10" width="3.88671875" customWidth="1"/>
    <col min="11" max="11" width="4.109375" customWidth="1"/>
    <col min="12" max="12" width="36.109375" customWidth="1"/>
    <col min="13" max="13" width="13.33203125" customWidth="1"/>
    <col min="14" max="14" width="11.44140625" customWidth="1"/>
    <col min="15" max="15" width="8.33203125" customWidth="1"/>
    <col min="16" max="16" width="13" customWidth="1"/>
    <col min="17" max="17" width="16.109375" customWidth="1"/>
    <col min="18" max="18" width="15.33203125" customWidth="1"/>
    <col min="19" max="19" width="7.44140625" customWidth="1"/>
    <col min="20" max="20" width="7.88671875" customWidth="1"/>
    <col min="21" max="21" width="43.88671875" customWidth="1"/>
    <col min="22" max="23" width="14.6640625" customWidth="1"/>
    <col min="24" max="24" width="11.44140625" customWidth="1"/>
    <col min="25" max="25" width="14.109375" customWidth="1"/>
    <col min="26" max="26" width="18" customWidth="1"/>
    <col min="27" max="27" width="15.33203125" customWidth="1"/>
    <col min="28" max="29" width="7.44140625" customWidth="1"/>
    <col min="30" max="30" width="36.44140625" customWidth="1"/>
    <col min="31" max="31" width="13.44140625" customWidth="1"/>
    <col min="32" max="32" width="13.109375" customWidth="1"/>
    <col min="33" max="34" width="15.44140625" customWidth="1"/>
    <col min="35" max="35" width="13.6640625" customWidth="1"/>
    <col min="36" max="36" width="14.88671875" customWidth="1"/>
  </cols>
  <sheetData>
    <row r="1" spans="1:36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5" customHeight="1" x14ac:dyDescent="0.35">
      <c r="A2" s="23"/>
      <c r="B2" s="24" t="s">
        <v>279</v>
      </c>
      <c r="C2" s="23"/>
      <c r="D2" s="197" t="s">
        <v>102</v>
      </c>
      <c r="E2" s="177"/>
      <c r="F2" s="83" t="s">
        <v>103</v>
      </c>
      <c r="G2" s="84" t="s">
        <v>104</v>
      </c>
      <c r="H2" s="23" t="s">
        <v>280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 ht="15" customHeight="1" x14ac:dyDescent="0.3">
      <c r="A3" s="23"/>
      <c r="B3" s="190" t="s">
        <v>105</v>
      </c>
      <c r="C3" s="26" t="s">
        <v>15</v>
      </c>
      <c r="D3" s="198">
        <v>2.5</v>
      </c>
      <c r="E3" s="199"/>
      <c r="F3" s="27">
        <v>3.3</v>
      </c>
      <c r="G3" s="28">
        <v>2.5</v>
      </c>
      <c r="H3" s="23" t="s">
        <v>106</v>
      </c>
      <c r="I3" s="28"/>
      <c r="J3" s="23"/>
      <c r="K3" s="23"/>
      <c r="L3" s="192"/>
      <c r="M3" s="26"/>
      <c r="N3" s="23"/>
      <c r="O3" s="23"/>
      <c r="P3" s="23"/>
      <c r="Q3" s="23"/>
      <c r="R3" s="23"/>
      <c r="S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1:36" ht="15" customHeight="1" x14ac:dyDescent="0.3">
      <c r="A4" s="23"/>
      <c r="B4" s="176"/>
      <c r="C4" s="26" t="s">
        <v>29</v>
      </c>
      <c r="D4" s="191">
        <v>3</v>
      </c>
      <c r="E4" s="176"/>
      <c r="F4" s="23"/>
      <c r="G4" s="28"/>
      <c r="H4" s="23" t="s">
        <v>106</v>
      </c>
      <c r="I4" s="28"/>
      <c r="J4" s="23"/>
      <c r="K4" s="23"/>
      <c r="L4" s="176"/>
      <c r="M4" s="26"/>
      <c r="N4" s="23"/>
      <c r="O4" s="23"/>
      <c r="P4" s="23"/>
      <c r="Q4" s="23"/>
      <c r="R4" s="23"/>
      <c r="S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3"/>
      <c r="J5" s="23"/>
      <c r="K5" s="23"/>
      <c r="L5" s="29"/>
      <c r="M5" s="25"/>
      <c r="N5" s="25"/>
      <c r="O5" s="23"/>
      <c r="P5" s="23"/>
      <c r="Q5" s="23"/>
      <c r="R5" s="23"/>
      <c r="S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 ht="15" customHeight="1" x14ac:dyDescent="0.3">
      <c r="A6" s="23"/>
      <c r="B6" s="176"/>
      <c r="C6" s="30" t="s">
        <v>111</v>
      </c>
      <c r="D6" s="191">
        <f>40+13</f>
        <v>53</v>
      </c>
      <c r="E6" s="176"/>
      <c r="F6" s="23">
        <v>17</v>
      </c>
      <c r="G6" s="23">
        <v>13</v>
      </c>
      <c r="H6" s="23"/>
      <c r="I6" s="23"/>
      <c r="J6" s="23"/>
      <c r="K6" s="23"/>
      <c r="L6" s="30"/>
      <c r="M6" s="23"/>
      <c r="N6" s="23"/>
      <c r="O6" s="23"/>
      <c r="P6" s="23"/>
      <c r="Q6" s="23"/>
      <c r="R6" s="23"/>
      <c r="S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36" ht="15" customHeight="1" x14ac:dyDescent="0.3">
      <c r="A7" s="23"/>
      <c r="B7" s="176"/>
      <c r="C7" s="30" t="s">
        <v>112</v>
      </c>
      <c r="D7" s="191">
        <f>140+69</f>
        <v>209</v>
      </c>
      <c r="E7" s="176"/>
      <c r="F7" s="23">
        <v>76</v>
      </c>
      <c r="G7" s="23">
        <v>63</v>
      </c>
      <c r="H7" s="23"/>
      <c r="I7" s="23"/>
      <c r="J7" s="23"/>
      <c r="K7" s="23"/>
      <c r="L7" s="30"/>
      <c r="M7" s="23"/>
      <c r="N7" s="23"/>
      <c r="O7" s="23"/>
      <c r="P7" s="23"/>
      <c r="Q7" s="23"/>
      <c r="R7" s="23"/>
      <c r="S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ht="15" customHeight="1" x14ac:dyDescent="0.3">
      <c r="A8" s="23"/>
      <c r="B8" s="176"/>
      <c r="C8" s="30" t="s">
        <v>113</v>
      </c>
      <c r="D8" s="191">
        <f>220+168</f>
        <v>388</v>
      </c>
      <c r="E8" s="176"/>
      <c r="F8" s="23">
        <v>86</v>
      </c>
      <c r="G8" s="23">
        <v>60</v>
      </c>
      <c r="H8" s="23"/>
      <c r="I8" s="23"/>
      <c r="J8" s="23"/>
      <c r="K8" s="23"/>
      <c r="L8" s="30"/>
      <c r="M8" s="23"/>
      <c r="N8" s="23"/>
      <c r="O8" s="23"/>
      <c r="P8" s="23"/>
      <c r="Q8" s="23"/>
      <c r="R8" s="23"/>
      <c r="S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1:36" ht="15" customHeight="1" x14ac:dyDescent="0.3">
      <c r="A9" s="23"/>
      <c r="B9" s="176"/>
      <c r="C9" s="30" t="s">
        <v>114</v>
      </c>
      <c r="D9" s="191">
        <f>126+86</f>
        <v>212</v>
      </c>
      <c r="E9" s="176"/>
      <c r="F9" s="23">
        <v>85</v>
      </c>
      <c r="G9" s="23">
        <v>39</v>
      </c>
      <c r="H9" s="23"/>
      <c r="I9" s="23"/>
      <c r="J9" s="23"/>
      <c r="K9" s="23"/>
      <c r="L9" s="30"/>
      <c r="M9" s="23"/>
      <c r="N9" s="23"/>
      <c r="O9" s="23"/>
      <c r="P9" s="23"/>
      <c r="Q9" s="23"/>
      <c r="R9" s="23"/>
      <c r="S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36" ht="15" customHeight="1" x14ac:dyDescent="0.3">
      <c r="A10" s="23"/>
      <c r="B10" s="176"/>
      <c r="C10" s="30" t="s">
        <v>115</v>
      </c>
      <c r="D10" s="191">
        <f>119+66</f>
        <v>185</v>
      </c>
      <c r="E10" s="176"/>
      <c r="F10" s="23">
        <v>34</v>
      </c>
      <c r="G10" s="23">
        <v>32</v>
      </c>
      <c r="H10" s="23"/>
      <c r="I10" s="23"/>
      <c r="J10" s="23"/>
      <c r="K10" s="23"/>
      <c r="L10" s="30"/>
      <c r="M10" s="23"/>
      <c r="N10" s="23"/>
      <c r="O10" s="23"/>
      <c r="P10" s="23"/>
      <c r="Q10" s="23"/>
      <c r="R10" s="23"/>
      <c r="S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6" ht="15" customHeight="1" x14ac:dyDescent="0.3">
      <c r="A11" s="23"/>
      <c r="B11" s="31"/>
      <c r="C11" s="30" t="s">
        <v>116</v>
      </c>
      <c r="D11" s="23">
        <v>365</v>
      </c>
      <c r="E11" s="23"/>
      <c r="F11" s="23"/>
      <c r="G11" s="23"/>
      <c r="H11" s="23"/>
      <c r="I11" s="23"/>
      <c r="J11" s="23"/>
      <c r="K11" s="23"/>
      <c r="L11" s="30"/>
      <c r="M11" s="23"/>
      <c r="N11" s="23"/>
      <c r="O11" s="23"/>
      <c r="P11" s="23"/>
      <c r="Q11" s="23"/>
      <c r="R11" s="23"/>
      <c r="S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5" customHeight="1" x14ac:dyDescent="0.3">
      <c r="A13" s="23"/>
      <c r="B13" s="23"/>
      <c r="C13" s="23"/>
      <c r="D13" s="23"/>
      <c r="E13" s="23"/>
      <c r="F13" s="23"/>
      <c r="G13" s="23"/>
      <c r="J13" s="23"/>
      <c r="K13" s="23"/>
      <c r="L13" s="23"/>
      <c r="M13" s="23"/>
      <c r="N13" s="23"/>
      <c r="O13" s="23"/>
      <c r="P13" s="23"/>
      <c r="Q13" s="184"/>
      <c r="R13" s="185"/>
      <c r="S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18" x14ac:dyDescent="0.35">
      <c r="A14" s="23"/>
      <c r="B14" s="23"/>
      <c r="C14" s="32" t="s">
        <v>282</v>
      </c>
      <c r="D14" s="69"/>
      <c r="E14" s="69"/>
      <c r="F14" s="69"/>
      <c r="G14" s="69"/>
      <c r="H14" s="184" t="s">
        <v>281</v>
      </c>
      <c r="I14" s="185"/>
      <c r="J14" s="23"/>
      <c r="K14" s="23"/>
      <c r="L14" s="32" t="s">
        <v>282</v>
      </c>
      <c r="M14" s="33"/>
      <c r="N14" s="33"/>
      <c r="O14" s="33"/>
      <c r="P14" s="33"/>
      <c r="Q14" s="184" t="s">
        <v>118</v>
      </c>
      <c r="R14" s="185"/>
      <c r="S14" s="23"/>
      <c r="U14" s="32" t="s">
        <v>282</v>
      </c>
      <c r="V14" s="33"/>
      <c r="W14" s="33"/>
      <c r="X14" s="33"/>
      <c r="Y14" s="33"/>
      <c r="Z14" s="35"/>
      <c r="AA14" s="35"/>
      <c r="AB14" s="23"/>
      <c r="AC14" s="23"/>
      <c r="AD14" s="26" t="s">
        <v>212</v>
      </c>
      <c r="AE14" s="23"/>
      <c r="AF14" s="23"/>
      <c r="AG14" s="23"/>
      <c r="AH14" s="23"/>
      <c r="AI14" s="23"/>
      <c r="AJ14" s="23"/>
    </row>
    <row r="15" spans="1:36" ht="69.75" customHeight="1" x14ac:dyDescent="0.4">
      <c r="A15" s="23"/>
      <c r="B15" s="23"/>
      <c r="C15" s="71" t="s">
        <v>176</v>
      </c>
      <c r="D15" s="38" t="s">
        <v>122</v>
      </c>
      <c r="E15" s="38" t="s">
        <v>129</v>
      </c>
      <c r="F15" s="38" t="s">
        <v>130</v>
      </c>
      <c r="G15" s="38" t="s">
        <v>131</v>
      </c>
      <c r="H15" s="39" t="s">
        <v>126</v>
      </c>
      <c r="I15" s="40" t="s">
        <v>127</v>
      </c>
      <c r="J15" s="85"/>
      <c r="K15" s="85"/>
      <c r="L15" s="72" t="s">
        <v>177</v>
      </c>
      <c r="M15" s="38" t="s">
        <v>122</v>
      </c>
      <c r="N15" s="38" t="s">
        <v>129</v>
      </c>
      <c r="O15" s="38" t="s">
        <v>130</v>
      </c>
      <c r="P15" s="38" t="s">
        <v>131</v>
      </c>
      <c r="Q15" s="39" t="s">
        <v>126</v>
      </c>
      <c r="R15" s="40" t="s">
        <v>127</v>
      </c>
      <c r="S15" s="85"/>
      <c r="U15" s="72" t="s">
        <v>178</v>
      </c>
      <c r="V15" s="38" t="s">
        <v>122</v>
      </c>
      <c r="W15" s="38" t="s">
        <v>129</v>
      </c>
      <c r="X15" s="38" t="s">
        <v>130</v>
      </c>
      <c r="Y15" s="38" t="s">
        <v>131</v>
      </c>
      <c r="Z15" s="39" t="s">
        <v>126</v>
      </c>
      <c r="AA15" s="40" t="s">
        <v>127</v>
      </c>
      <c r="AB15" s="85"/>
      <c r="AC15" s="26"/>
      <c r="AD15" s="44"/>
      <c r="AE15" s="86" t="s">
        <v>179</v>
      </c>
      <c r="AF15" s="87" t="s">
        <v>180</v>
      </c>
      <c r="AG15" s="87" t="s">
        <v>113</v>
      </c>
      <c r="AH15" s="87" t="s">
        <v>114</v>
      </c>
      <c r="AI15" s="87" t="s">
        <v>115</v>
      </c>
      <c r="AJ15" s="25" t="s">
        <v>213</v>
      </c>
    </row>
    <row r="16" spans="1:36" ht="17.399999999999999" x14ac:dyDescent="0.35">
      <c r="A16" s="23"/>
      <c r="B16" s="23"/>
      <c r="C16" s="44" t="s">
        <v>133</v>
      </c>
      <c r="D16" s="45">
        <v>0</v>
      </c>
      <c r="E16" s="45">
        <v>0</v>
      </c>
      <c r="F16" s="46" t="s">
        <v>134</v>
      </c>
      <c r="G16" s="47">
        <v>0</v>
      </c>
      <c r="H16" s="194">
        <f>D6*D3*'Vehicle Infos'!K10</f>
        <v>421.35</v>
      </c>
      <c r="I16" s="44">
        <f>$D$6*E16*'Vehicle Infos'!$L$10</f>
        <v>0</v>
      </c>
      <c r="J16" s="88"/>
      <c r="K16" s="88"/>
      <c r="L16" s="44" t="s">
        <v>135</v>
      </c>
      <c r="M16" s="48">
        <v>0</v>
      </c>
      <c r="N16" s="47">
        <v>0</v>
      </c>
      <c r="O16" s="46" t="s">
        <v>144</v>
      </c>
      <c r="P16" s="47">
        <v>0</v>
      </c>
      <c r="Q16" s="182">
        <f>F6*F3*'Vehicle Infos'!K21</f>
        <v>177.80894999999998</v>
      </c>
      <c r="R16" s="57">
        <f>$F$6*N16*'Vehicle Infos'!$L$21</f>
        <v>0</v>
      </c>
      <c r="S16" s="88"/>
      <c r="U16" s="44" t="s">
        <v>136</v>
      </c>
      <c r="V16" s="48">
        <v>0</v>
      </c>
      <c r="W16" s="47">
        <v>0</v>
      </c>
      <c r="X16" s="46" t="s">
        <v>283</v>
      </c>
      <c r="Y16" s="47">
        <v>0</v>
      </c>
      <c r="Z16" s="183">
        <f>G6*G3*'Vehicle Infos'!K29</f>
        <v>102.96</v>
      </c>
      <c r="AA16" s="49">
        <f>$G$6*W16*'Vehicle Infos'!$L$29</f>
        <v>0</v>
      </c>
      <c r="AB16" s="88"/>
      <c r="AC16" s="26"/>
      <c r="AD16" s="44"/>
      <c r="AE16" s="89"/>
      <c r="AF16" s="81"/>
      <c r="AG16" s="81"/>
      <c r="AH16" s="81"/>
      <c r="AI16" s="81"/>
      <c r="AJ16" s="81"/>
    </row>
    <row r="17" spans="1:36" ht="17.399999999999999" x14ac:dyDescent="0.35">
      <c r="A17" s="23"/>
      <c r="B17" s="23"/>
      <c r="C17" s="44" t="s">
        <v>137</v>
      </c>
      <c r="D17" s="45">
        <v>7.5</v>
      </c>
      <c r="E17" s="45">
        <v>7.5</v>
      </c>
      <c r="F17" s="46" t="s">
        <v>138</v>
      </c>
      <c r="G17" s="47">
        <v>7</v>
      </c>
      <c r="H17" s="181"/>
      <c r="I17" s="44">
        <f>$D$6*E17*'Vehicle Infos'!$L$10</f>
        <v>102.36049</v>
      </c>
      <c r="J17" s="90"/>
      <c r="K17" s="90"/>
      <c r="L17" s="44" t="s">
        <v>139</v>
      </c>
      <c r="M17" s="48">
        <v>1</v>
      </c>
      <c r="N17" s="47">
        <v>1</v>
      </c>
      <c r="O17" s="46" t="s">
        <v>147</v>
      </c>
      <c r="P17" s="47">
        <v>2</v>
      </c>
      <c r="Q17" s="181"/>
      <c r="R17" s="57">
        <f>$F$6*N17*'Vehicle Infos'!$L$21</f>
        <v>3.0908865714285709</v>
      </c>
      <c r="S17" s="90"/>
      <c r="U17" s="44" t="s">
        <v>141</v>
      </c>
      <c r="V17" s="48">
        <v>3</v>
      </c>
      <c r="W17" s="51">
        <v>3</v>
      </c>
      <c r="X17" s="46" t="s">
        <v>284</v>
      </c>
      <c r="Y17" s="47">
        <v>5</v>
      </c>
      <c r="Z17" s="181"/>
      <c r="AA17" s="49">
        <f>$G$6*W17*'Vehicle Infos'!$L$29</f>
        <v>6.5165165000000007</v>
      </c>
      <c r="AB17" s="90"/>
      <c r="AC17" s="23"/>
      <c r="AD17" s="44"/>
      <c r="AE17" s="60"/>
      <c r="AF17" s="60"/>
      <c r="AG17" s="60"/>
      <c r="AH17" s="60"/>
      <c r="AI17" s="60"/>
      <c r="AJ17" s="23"/>
    </row>
    <row r="18" spans="1:36" ht="17.399999999999999" x14ac:dyDescent="0.35">
      <c r="A18" s="23"/>
      <c r="B18" s="23"/>
      <c r="C18" s="44" t="s">
        <v>143</v>
      </c>
      <c r="D18" s="45">
        <v>8</v>
      </c>
      <c r="E18" s="45">
        <v>0.5</v>
      </c>
      <c r="F18" s="46" t="s">
        <v>144</v>
      </c>
      <c r="G18" s="47">
        <v>3</v>
      </c>
      <c r="H18" s="181"/>
      <c r="I18" s="44">
        <f>$D$6*E18*'Vehicle Infos'!$L$10</f>
        <v>6.8240326666666666</v>
      </c>
      <c r="J18" s="90"/>
      <c r="K18" s="90"/>
      <c r="L18" s="44" t="s">
        <v>145</v>
      </c>
      <c r="M18" s="48">
        <v>2.5</v>
      </c>
      <c r="N18" s="51">
        <v>1.5</v>
      </c>
      <c r="O18" s="46" t="s">
        <v>285</v>
      </c>
      <c r="P18" s="47">
        <v>5</v>
      </c>
      <c r="Q18" s="181"/>
      <c r="R18" s="57">
        <f>$F$6*N18*'Vehicle Infos'!$L$21</f>
        <v>4.6363298571428562</v>
      </c>
      <c r="S18" s="90"/>
      <c r="U18" s="44" t="s">
        <v>146</v>
      </c>
      <c r="V18" s="48">
        <v>5.5</v>
      </c>
      <c r="W18" s="51">
        <v>2.5</v>
      </c>
      <c r="X18" s="46" t="s">
        <v>286</v>
      </c>
      <c r="Y18" s="47">
        <v>6</v>
      </c>
      <c r="Z18" s="181"/>
      <c r="AA18" s="49">
        <f>$G$6*W18*'Vehicle Infos'!$L$29</f>
        <v>5.4304304166666668</v>
      </c>
      <c r="AB18" s="90"/>
      <c r="AC18" s="23"/>
      <c r="AD18" s="5"/>
      <c r="AE18" s="53"/>
      <c r="AF18" s="53"/>
      <c r="AG18" s="53"/>
      <c r="AH18" s="53"/>
      <c r="AI18" s="53"/>
      <c r="AJ18" s="23"/>
    </row>
    <row r="19" spans="1:36" ht="17.399999999999999" x14ac:dyDescent="0.35">
      <c r="A19" s="23"/>
      <c r="B19" s="23"/>
      <c r="C19" s="44" t="s">
        <v>148</v>
      </c>
      <c r="D19" s="45">
        <v>9</v>
      </c>
      <c r="E19" s="45">
        <v>1</v>
      </c>
      <c r="F19" s="46" t="s">
        <v>149</v>
      </c>
      <c r="G19" s="47">
        <v>4</v>
      </c>
      <c r="H19" s="181"/>
      <c r="I19" s="44">
        <f>$D$6*E19*'Vehicle Infos'!$L$10</f>
        <v>13.648065333333333</v>
      </c>
      <c r="J19" s="90"/>
      <c r="K19" s="90"/>
      <c r="L19" s="44" t="s">
        <v>150</v>
      </c>
      <c r="M19" s="48">
        <v>9</v>
      </c>
      <c r="N19" s="51">
        <v>6.5</v>
      </c>
      <c r="O19" s="46" t="s">
        <v>159</v>
      </c>
      <c r="P19" s="47">
        <v>9</v>
      </c>
      <c r="Q19" s="181"/>
      <c r="R19" s="57">
        <f>$F$6*N19*'Vehicle Infos'!$L$21</f>
        <v>20.090762714285709</v>
      </c>
      <c r="S19" s="90"/>
      <c r="U19" s="44" t="s">
        <v>151</v>
      </c>
      <c r="V19" s="48">
        <v>7.5</v>
      </c>
      <c r="W19" s="51">
        <v>2</v>
      </c>
      <c r="X19" s="46" t="s">
        <v>157</v>
      </c>
      <c r="Y19" s="47">
        <v>8</v>
      </c>
      <c r="Z19" s="181"/>
      <c r="AA19" s="49">
        <f>$G$6*W19*'Vehicle Infos'!$L$29</f>
        <v>4.3443443333333338</v>
      </c>
      <c r="AB19" s="90"/>
      <c r="AC19" s="23"/>
      <c r="AD19" s="5"/>
      <c r="AE19" s="53"/>
      <c r="AF19" s="53"/>
      <c r="AG19" s="53"/>
      <c r="AH19" s="53"/>
      <c r="AI19" s="53"/>
      <c r="AJ19" s="23"/>
    </row>
    <row r="20" spans="1:36" ht="17.399999999999999" x14ac:dyDescent="0.35">
      <c r="A20" s="23"/>
      <c r="B20" s="23"/>
      <c r="C20" s="44" t="s">
        <v>153</v>
      </c>
      <c r="D20" s="45">
        <v>10</v>
      </c>
      <c r="E20" s="45">
        <v>1</v>
      </c>
      <c r="F20" s="46" t="s">
        <v>154</v>
      </c>
      <c r="G20" s="47">
        <v>4</v>
      </c>
      <c r="H20" s="181"/>
      <c r="I20" s="44">
        <f>$D$6*E20*'Vehicle Infos'!$L$10</f>
        <v>13.648065333333333</v>
      </c>
      <c r="J20" s="90"/>
      <c r="K20" s="90"/>
      <c r="L20" s="44" t="s">
        <v>155</v>
      </c>
      <c r="M20" s="48">
        <v>12</v>
      </c>
      <c r="N20" s="51">
        <v>3</v>
      </c>
      <c r="O20" s="46" t="s">
        <v>166</v>
      </c>
      <c r="P20" s="47">
        <v>4</v>
      </c>
      <c r="Q20" s="181"/>
      <c r="R20" s="57">
        <f>$F$6*N20*'Vehicle Infos'!$L$21</f>
        <v>9.2726597142857123</v>
      </c>
      <c r="S20" s="90"/>
      <c r="U20" s="44" t="s">
        <v>156</v>
      </c>
      <c r="V20" s="48">
        <v>12</v>
      </c>
      <c r="W20" s="51">
        <v>4.5</v>
      </c>
      <c r="X20" s="46" t="s">
        <v>287</v>
      </c>
      <c r="Y20" s="47">
        <v>15</v>
      </c>
      <c r="Z20" s="181"/>
      <c r="AA20" s="49">
        <f>$G$6*W20*'Vehicle Infos'!$L$29</f>
        <v>9.7747747500000006</v>
      </c>
      <c r="AB20" s="90"/>
      <c r="AC20" s="23"/>
      <c r="AD20" s="5"/>
      <c r="AE20" s="188"/>
      <c r="AF20" s="176"/>
      <c r="AG20" s="176"/>
      <c r="AH20" s="176"/>
      <c r="AI20" s="176"/>
      <c r="AJ20" s="23"/>
    </row>
    <row r="21" spans="1:36" ht="17.399999999999999" x14ac:dyDescent="0.35">
      <c r="A21" s="23"/>
      <c r="B21" s="23"/>
      <c r="C21" s="44" t="s">
        <v>158</v>
      </c>
      <c r="D21" s="45">
        <v>11</v>
      </c>
      <c r="E21" s="45">
        <v>1</v>
      </c>
      <c r="F21" s="46" t="s">
        <v>288</v>
      </c>
      <c r="G21" s="91">
        <v>7</v>
      </c>
      <c r="H21" s="181"/>
      <c r="I21" s="44">
        <f>$D$6*E21*'Vehicle Infos'!$L$10</f>
        <v>13.648065333333333</v>
      </c>
      <c r="J21" s="90"/>
      <c r="K21" s="90"/>
      <c r="L21" s="44" t="s">
        <v>160</v>
      </c>
      <c r="M21" s="48">
        <v>15.5</v>
      </c>
      <c r="N21" s="51">
        <v>3.5</v>
      </c>
      <c r="O21" s="46" t="s">
        <v>157</v>
      </c>
      <c r="P21" s="91">
        <v>5</v>
      </c>
      <c r="Q21" s="181"/>
      <c r="R21" s="57">
        <f>$F$6*N21*'Vehicle Infos'!$L$21</f>
        <v>10.818102999999999</v>
      </c>
      <c r="S21" s="90"/>
      <c r="U21" s="54" t="s">
        <v>162</v>
      </c>
      <c r="V21" s="48"/>
      <c r="W21" s="51">
        <f>SUM(W17:W20)</f>
        <v>12</v>
      </c>
      <c r="X21" s="46"/>
      <c r="Y21" s="92">
        <f>SUM(Y17:Y20)</f>
        <v>34</v>
      </c>
      <c r="Z21" s="193"/>
      <c r="AA21" s="49">
        <f>$G$6*W21*'Vehicle Infos'!$L$29</f>
        <v>26.066066000000003</v>
      </c>
      <c r="AB21" s="90"/>
      <c r="AC21" s="23"/>
      <c r="AD21" s="5"/>
      <c r="AE21" s="53"/>
      <c r="AF21" s="53"/>
      <c r="AG21" s="53"/>
      <c r="AH21" s="53"/>
      <c r="AI21" s="53"/>
      <c r="AJ21" s="23"/>
    </row>
    <row r="22" spans="1:36" ht="17.399999999999999" x14ac:dyDescent="0.35">
      <c r="A22" s="23"/>
      <c r="B22" s="23"/>
      <c r="C22" s="44" t="s">
        <v>163</v>
      </c>
      <c r="D22" s="45">
        <v>12</v>
      </c>
      <c r="E22" s="45">
        <v>1</v>
      </c>
      <c r="F22" s="46" t="s">
        <v>166</v>
      </c>
      <c r="G22" s="47">
        <v>5</v>
      </c>
      <c r="H22" s="181"/>
      <c r="I22" s="44">
        <f>$D$6*E22*'Vehicle Infos'!$L$10</f>
        <v>13.648065333333333</v>
      </c>
      <c r="J22" s="90"/>
      <c r="K22" s="90"/>
      <c r="L22" s="44" t="s">
        <v>165</v>
      </c>
      <c r="M22" s="48">
        <v>18.5</v>
      </c>
      <c r="N22" s="51">
        <v>3</v>
      </c>
      <c r="O22" s="46" t="s">
        <v>289</v>
      </c>
      <c r="P22" s="47">
        <v>5</v>
      </c>
      <c r="Q22" s="193"/>
      <c r="R22" s="57">
        <f>$F$6*N22*'Vehicle Infos'!$L$21</f>
        <v>9.2726597142857123</v>
      </c>
      <c r="S22" s="90"/>
      <c r="U22" s="44"/>
      <c r="V22" s="48"/>
      <c r="W22" s="51"/>
      <c r="X22" s="46"/>
      <c r="Y22" s="47"/>
      <c r="Z22" s="90"/>
      <c r="AA22" s="90"/>
      <c r="AB22" s="90"/>
      <c r="AC22" s="23"/>
      <c r="AD22" s="5"/>
      <c r="AE22" s="53"/>
      <c r="AF22" s="53"/>
      <c r="AG22" s="53"/>
      <c r="AH22" s="53"/>
      <c r="AI22" s="53"/>
      <c r="AJ22" s="23"/>
    </row>
    <row r="23" spans="1:36" ht="17.399999999999999" x14ac:dyDescent="0.35">
      <c r="A23" s="23"/>
      <c r="B23" s="23"/>
      <c r="C23" s="44" t="s">
        <v>167</v>
      </c>
      <c r="D23" s="45">
        <v>14</v>
      </c>
      <c r="E23" s="45">
        <v>2</v>
      </c>
      <c r="F23" s="46" t="s">
        <v>290</v>
      </c>
      <c r="G23" s="91">
        <v>6</v>
      </c>
      <c r="H23" s="181"/>
      <c r="I23" s="44">
        <f>$D$6*E23*'Vehicle Infos'!$L$10</f>
        <v>27.296130666666667</v>
      </c>
      <c r="J23" s="90"/>
      <c r="K23" s="90"/>
      <c r="L23" s="54" t="s">
        <v>162</v>
      </c>
      <c r="M23" s="49"/>
      <c r="N23" s="45">
        <f>SUM(N16:N22)</f>
        <v>18.5</v>
      </c>
      <c r="O23" s="58"/>
      <c r="P23" s="92">
        <f>SUM(P17:P22)</f>
        <v>30</v>
      </c>
      <c r="Q23" s="92">
        <f>SUM(Q16)</f>
        <v>177.80894999999998</v>
      </c>
      <c r="R23" s="57">
        <f>$F$6*N23*'Vehicle Infos'!$L$21</f>
        <v>57.181401571428559</v>
      </c>
      <c r="S23" s="90"/>
      <c r="U23" s="54"/>
      <c r="V23" s="49"/>
      <c r="W23" s="45"/>
      <c r="X23" s="58"/>
      <c r="Y23" s="92"/>
      <c r="Z23" s="90"/>
      <c r="AA23" s="90"/>
      <c r="AB23" s="90"/>
      <c r="AC23" s="23"/>
      <c r="AD23" s="5"/>
      <c r="AE23" s="2"/>
      <c r="AF23" s="2"/>
      <c r="AG23" s="2"/>
      <c r="AH23" s="2"/>
      <c r="AI23" s="2"/>
      <c r="AJ23" s="23"/>
    </row>
    <row r="24" spans="1:36" ht="17.399999999999999" x14ac:dyDescent="0.35">
      <c r="A24" s="23"/>
      <c r="B24" s="23"/>
      <c r="C24" s="44" t="s">
        <v>169</v>
      </c>
      <c r="D24" s="45">
        <v>14.5</v>
      </c>
      <c r="E24" s="45">
        <v>0.5</v>
      </c>
      <c r="F24" s="46" t="s">
        <v>291</v>
      </c>
      <c r="G24" s="47">
        <v>3</v>
      </c>
      <c r="H24" s="181"/>
      <c r="I24" s="44">
        <f>$D$6*E24*'Vehicle Infos'!$L$10</f>
        <v>6.8240326666666666</v>
      </c>
      <c r="J24" s="90"/>
      <c r="K24" s="90"/>
      <c r="L24" s="23"/>
      <c r="M24" s="23"/>
      <c r="N24" s="23"/>
      <c r="O24" s="23"/>
      <c r="P24" s="50"/>
      <c r="Q24" s="50"/>
      <c r="R24" s="50"/>
      <c r="S24" s="90"/>
      <c r="U24" s="23"/>
      <c r="V24" s="23"/>
      <c r="W24" s="23"/>
      <c r="X24" s="23"/>
      <c r="Y24" s="23"/>
      <c r="Z24" s="90"/>
      <c r="AA24" s="90"/>
      <c r="AB24" s="90"/>
      <c r="AC24" s="23"/>
      <c r="AD24" s="23"/>
      <c r="AE24" s="23"/>
      <c r="AF24" s="23"/>
      <c r="AG24" s="23"/>
      <c r="AH24" s="23"/>
      <c r="AI24" s="23"/>
      <c r="AJ24" s="23"/>
    </row>
    <row r="25" spans="1:36" ht="17.399999999999999" x14ac:dyDescent="0.35">
      <c r="A25" s="23"/>
      <c r="B25" s="23"/>
      <c r="C25" s="44" t="s">
        <v>171</v>
      </c>
      <c r="D25" s="45">
        <v>15</v>
      </c>
      <c r="E25" s="45">
        <v>0.5</v>
      </c>
      <c r="F25" s="46" t="s">
        <v>289</v>
      </c>
      <c r="G25" s="47">
        <v>1</v>
      </c>
      <c r="H25" s="193"/>
      <c r="I25" s="44">
        <f>$D$6*E25*'Vehicle Infos'!$L$10</f>
        <v>6.8240326666666666</v>
      </c>
      <c r="J25" s="90"/>
      <c r="K25" s="90"/>
      <c r="L25" s="23"/>
      <c r="M25" s="23"/>
      <c r="N25" s="23"/>
      <c r="O25" s="23"/>
      <c r="P25" s="23"/>
      <c r="Q25" s="23"/>
      <c r="R25" s="23"/>
      <c r="S25" s="90"/>
      <c r="U25" s="23"/>
      <c r="V25" s="23"/>
      <c r="W25" s="23"/>
      <c r="X25" s="23"/>
      <c r="Y25" s="23"/>
      <c r="Z25" s="90"/>
      <c r="AA25" s="90"/>
      <c r="AB25" s="90"/>
      <c r="AC25" s="23"/>
      <c r="AD25" s="23"/>
      <c r="AE25" s="23"/>
      <c r="AF25" s="23"/>
      <c r="AG25" s="23"/>
      <c r="AH25" s="23"/>
      <c r="AI25" s="23"/>
      <c r="AJ25" s="23"/>
    </row>
    <row r="26" spans="1:36" ht="17.399999999999999" x14ac:dyDescent="0.35">
      <c r="A26" s="23"/>
      <c r="B26" s="23"/>
      <c r="C26" s="54" t="s">
        <v>162</v>
      </c>
      <c r="D26" s="49"/>
      <c r="E26" s="45">
        <v>15</v>
      </c>
      <c r="F26" s="58"/>
      <c r="G26" s="75">
        <f>SUM(G17:G25)</f>
        <v>40</v>
      </c>
      <c r="H26" s="47">
        <f>SUM(H16)</f>
        <v>421.35</v>
      </c>
      <c r="I26" s="44">
        <f>$D$6*E26*'Vehicle Infos'!$L$10</f>
        <v>204.72098</v>
      </c>
      <c r="J26" s="68"/>
      <c r="K26" s="68"/>
      <c r="L26" s="23"/>
      <c r="M26" s="23"/>
      <c r="N26" s="23"/>
      <c r="O26" s="23"/>
      <c r="P26" s="23"/>
      <c r="Q26" s="23"/>
      <c r="R26" s="23"/>
      <c r="S26" s="68"/>
      <c r="U26" s="23"/>
      <c r="V26" s="23"/>
      <c r="W26" s="23"/>
      <c r="X26" s="23"/>
      <c r="Y26" s="23"/>
      <c r="Z26" s="68"/>
      <c r="AA26" s="68"/>
      <c r="AB26" s="68"/>
      <c r="AC26" s="23"/>
      <c r="AD26" s="23"/>
      <c r="AE26" s="23"/>
      <c r="AF26" s="23"/>
      <c r="AG26" s="23"/>
      <c r="AH26" s="23"/>
      <c r="AI26" s="23"/>
      <c r="AJ26" s="23"/>
    </row>
    <row r="27" spans="1:36" ht="15" customHeight="1" x14ac:dyDescent="0.3">
      <c r="A27" s="23"/>
      <c r="B27" s="23"/>
      <c r="C27" s="23"/>
      <c r="D27" s="23"/>
      <c r="E27" s="23"/>
      <c r="F27" s="23"/>
      <c r="G27" s="23"/>
      <c r="H27" s="9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14.4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18" x14ac:dyDescent="0.35">
      <c r="A29" s="23"/>
      <c r="B29" s="23"/>
      <c r="C29" s="32" t="s">
        <v>292</v>
      </c>
      <c r="D29" s="69"/>
      <c r="E29" s="69"/>
      <c r="F29" s="69"/>
      <c r="G29" s="69"/>
      <c r="H29" s="69"/>
      <c r="I29" s="69"/>
      <c r="J29" s="23"/>
      <c r="K29" s="23"/>
      <c r="L29" s="32" t="s">
        <v>292</v>
      </c>
      <c r="M29" s="33"/>
      <c r="N29" s="33"/>
      <c r="O29" s="33"/>
      <c r="P29" s="33"/>
      <c r="Q29" s="33"/>
      <c r="R29" s="33"/>
      <c r="S29" s="23"/>
      <c r="U29" s="32" t="s">
        <v>292</v>
      </c>
      <c r="V29" s="33"/>
      <c r="W29" s="33"/>
      <c r="X29" s="33"/>
      <c r="Y29" s="3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62.4" x14ac:dyDescent="0.4">
      <c r="A30" s="23"/>
      <c r="B30" s="23"/>
      <c r="C30" s="37" t="s">
        <v>176</v>
      </c>
      <c r="D30" s="38" t="s">
        <v>122</v>
      </c>
      <c r="E30" s="38" t="s">
        <v>129</v>
      </c>
      <c r="F30" s="38" t="s">
        <v>130</v>
      </c>
      <c r="G30" s="38" t="s">
        <v>131</v>
      </c>
      <c r="H30" s="39" t="s">
        <v>126</v>
      </c>
      <c r="I30" s="40" t="s">
        <v>127</v>
      </c>
      <c r="J30" s="85"/>
      <c r="K30" s="85"/>
      <c r="L30" s="72" t="s">
        <v>177</v>
      </c>
      <c r="M30" s="38" t="s">
        <v>122</v>
      </c>
      <c r="N30" s="38" t="s">
        <v>129</v>
      </c>
      <c r="O30" s="38" t="s">
        <v>130</v>
      </c>
      <c r="P30" s="38" t="s">
        <v>131</v>
      </c>
      <c r="Q30" s="39" t="s">
        <v>126</v>
      </c>
      <c r="R30" s="40" t="s">
        <v>127</v>
      </c>
      <c r="S30" s="85"/>
      <c r="U30" s="72" t="s">
        <v>178</v>
      </c>
      <c r="V30" s="38" t="s">
        <v>122</v>
      </c>
      <c r="W30" s="38" t="s">
        <v>129</v>
      </c>
      <c r="X30" s="38" t="s">
        <v>130</v>
      </c>
      <c r="Y30" s="38" t="s">
        <v>131</v>
      </c>
      <c r="Z30" s="39" t="s">
        <v>126</v>
      </c>
      <c r="AA30" s="40" t="s">
        <v>127</v>
      </c>
      <c r="AB30" s="85"/>
      <c r="AC30" s="23"/>
      <c r="AD30" s="23"/>
      <c r="AE30" s="23"/>
      <c r="AF30" s="23"/>
      <c r="AG30" s="23"/>
      <c r="AH30" s="23"/>
      <c r="AI30" s="23"/>
      <c r="AJ30" s="23"/>
    </row>
    <row r="31" spans="1:36" ht="17.399999999999999" x14ac:dyDescent="0.35">
      <c r="A31" s="23"/>
      <c r="B31" s="23"/>
      <c r="C31" s="44" t="s">
        <v>133</v>
      </c>
      <c r="D31" s="45">
        <v>0</v>
      </c>
      <c r="E31" s="45">
        <v>0</v>
      </c>
      <c r="F31" s="46" t="s">
        <v>181</v>
      </c>
      <c r="G31" s="47"/>
      <c r="H31" s="180">
        <f>D7*D3*'Vehicle Infos'!K10</f>
        <v>1661.5500000000002</v>
      </c>
      <c r="I31" s="44">
        <f>$D$7*E31*'Vehicle Infos'!$L$10</f>
        <v>0</v>
      </c>
      <c r="J31" s="88"/>
      <c r="K31" s="88"/>
      <c r="L31" s="44" t="s">
        <v>135</v>
      </c>
      <c r="M31" s="48">
        <v>0</v>
      </c>
      <c r="N31" s="47">
        <v>0</v>
      </c>
      <c r="O31" s="46" t="s">
        <v>293</v>
      </c>
      <c r="P31" s="47"/>
      <c r="Q31" s="180">
        <f>F7*F3*'Vehicle Infos'!K21</f>
        <v>794.91059999999993</v>
      </c>
      <c r="R31" s="49">
        <f>$F$7*N31*'Vehicle Infos'!$L$21</f>
        <v>0</v>
      </c>
      <c r="S31" s="88"/>
      <c r="U31" s="44" t="s">
        <v>136</v>
      </c>
      <c r="V31" s="48">
        <v>0</v>
      </c>
      <c r="W31" s="47">
        <v>0</v>
      </c>
      <c r="X31" s="46" t="s">
        <v>293</v>
      </c>
      <c r="Y31" s="47">
        <v>0</v>
      </c>
      <c r="Z31" s="195">
        <f>G7*G3*'Vehicle Infos'!K29</f>
        <v>498.96</v>
      </c>
      <c r="AA31" s="88">
        <f>$G$7*W31*'Vehicle Infos'!$L$29</f>
        <v>0</v>
      </c>
      <c r="AB31" s="88"/>
      <c r="AC31" s="23"/>
      <c r="AD31" s="23"/>
      <c r="AE31" s="23"/>
      <c r="AF31" s="23"/>
      <c r="AG31" s="23"/>
      <c r="AH31" s="23"/>
      <c r="AI31" s="23"/>
      <c r="AJ31" s="23"/>
    </row>
    <row r="32" spans="1:36" ht="17.399999999999999" x14ac:dyDescent="0.35">
      <c r="A32" s="23"/>
      <c r="B32" s="23"/>
      <c r="C32" s="44" t="s">
        <v>137</v>
      </c>
      <c r="D32" s="45">
        <v>7.5</v>
      </c>
      <c r="E32" s="45">
        <v>7.5</v>
      </c>
      <c r="F32" s="46" t="s">
        <v>185</v>
      </c>
      <c r="G32" s="47">
        <v>7</v>
      </c>
      <c r="H32" s="181"/>
      <c r="I32" s="44">
        <f>$D$7*E32*'Vehicle Infos'!$L$10</f>
        <v>403.64796999999999</v>
      </c>
      <c r="J32" s="90"/>
      <c r="K32" s="90"/>
      <c r="L32" s="44" t="s">
        <v>139</v>
      </c>
      <c r="M32" s="48">
        <v>1</v>
      </c>
      <c r="N32" s="47">
        <v>1</v>
      </c>
      <c r="O32" s="46" t="s">
        <v>294</v>
      </c>
      <c r="P32" s="47">
        <v>2</v>
      </c>
      <c r="Q32" s="181"/>
      <c r="R32" s="49">
        <f>$F$7*N32*'Vehicle Infos'!$L$21</f>
        <v>13.818081142857141</v>
      </c>
      <c r="S32" s="90"/>
      <c r="U32" s="44" t="s">
        <v>141</v>
      </c>
      <c r="V32" s="48">
        <v>3</v>
      </c>
      <c r="W32" s="51">
        <v>3</v>
      </c>
      <c r="X32" s="46" t="s">
        <v>295</v>
      </c>
      <c r="Y32" s="47">
        <v>5</v>
      </c>
      <c r="Z32" s="196"/>
      <c r="AA32" s="88">
        <f>$G$7*W32*'Vehicle Infos'!$L$29</f>
        <v>31.580041500000004</v>
      </c>
      <c r="AB32" s="90"/>
      <c r="AC32" s="23"/>
      <c r="AD32" s="23"/>
      <c r="AE32" s="23"/>
      <c r="AF32" s="23"/>
      <c r="AG32" s="23"/>
      <c r="AH32" s="23"/>
      <c r="AI32" s="23"/>
      <c r="AJ32" s="23"/>
    </row>
    <row r="33" spans="1:36" ht="15.75" customHeight="1" x14ac:dyDescent="0.35">
      <c r="A33" s="23"/>
      <c r="B33" s="23"/>
      <c r="C33" s="44" t="s">
        <v>143</v>
      </c>
      <c r="D33" s="45">
        <v>8</v>
      </c>
      <c r="E33" s="45">
        <v>0.5</v>
      </c>
      <c r="F33" s="46" t="s">
        <v>296</v>
      </c>
      <c r="G33" s="47">
        <v>3</v>
      </c>
      <c r="H33" s="181"/>
      <c r="I33" s="44">
        <f>$D$7*E33*'Vehicle Infos'!$L$10</f>
        <v>26.909864666666667</v>
      </c>
      <c r="J33" s="90"/>
      <c r="K33" s="90"/>
      <c r="L33" s="44" t="s">
        <v>145</v>
      </c>
      <c r="M33" s="48">
        <v>2.5</v>
      </c>
      <c r="N33" s="51">
        <v>1.5</v>
      </c>
      <c r="O33" s="46" t="s">
        <v>297</v>
      </c>
      <c r="P33" s="47">
        <v>5</v>
      </c>
      <c r="Q33" s="181"/>
      <c r="R33" s="49">
        <f>$F$7*N33*'Vehicle Infos'!$L$21</f>
        <v>20.727121714285712</v>
      </c>
      <c r="S33" s="90"/>
      <c r="U33" s="44" t="s">
        <v>146</v>
      </c>
      <c r="V33" s="48">
        <v>5.5</v>
      </c>
      <c r="W33" s="51">
        <v>2.5</v>
      </c>
      <c r="X33" s="46" t="s">
        <v>298</v>
      </c>
      <c r="Y33" s="47">
        <v>8</v>
      </c>
      <c r="Z33" s="196"/>
      <c r="AA33" s="88">
        <f>$G$7*W33*'Vehicle Infos'!$L$29</f>
        <v>26.316701250000001</v>
      </c>
      <c r="AB33" s="90"/>
      <c r="AC33" s="23"/>
      <c r="AD33" s="23"/>
      <c r="AE33" s="23"/>
      <c r="AF33" s="23"/>
      <c r="AG33" s="23"/>
      <c r="AH33" s="23"/>
      <c r="AI33" s="23"/>
      <c r="AJ33" s="23"/>
    </row>
    <row r="34" spans="1:36" ht="15.75" customHeight="1" x14ac:dyDescent="0.35">
      <c r="A34" s="23"/>
      <c r="B34" s="23"/>
      <c r="C34" s="44" t="s">
        <v>148</v>
      </c>
      <c r="D34" s="45">
        <v>9</v>
      </c>
      <c r="E34" s="45">
        <v>1</v>
      </c>
      <c r="F34" s="46" t="s">
        <v>193</v>
      </c>
      <c r="G34" s="47">
        <v>8</v>
      </c>
      <c r="H34" s="181"/>
      <c r="I34" s="44">
        <f>$D$7*E34*'Vehicle Infos'!$L$10</f>
        <v>53.819729333333335</v>
      </c>
      <c r="J34" s="90"/>
      <c r="K34" s="90"/>
      <c r="L34" s="44" t="s">
        <v>150</v>
      </c>
      <c r="M34" s="48">
        <v>9</v>
      </c>
      <c r="N34" s="51">
        <v>6.5</v>
      </c>
      <c r="O34" s="46" t="s">
        <v>299</v>
      </c>
      <c r="P34" s="47">
        <v>10</v>
      </c>
      <c r="Q34" s="181"/>
      <c r="R34" s="49">
        <f>$F$7*N34*'Vehicle Infos'!$L$21</f>
        <v>89.81752742857141</v>
      </c>
      <c r="S34" s="90"/>
      <c r="U34" s="44" t="s">
        <v>151</v>
      </c>
      <c r="V34" s="48">
        <v>7.5</v>
      </c>
      <c r="W34" s="51">
        <v>2</v>
      </c>
      <c r="X34" s="46" t="s">
        <v>296</v>
      </c>
      <c r="Y34" s="47">
        <v>12</v>
      </c>
      <c r="Z34" s="196"/>
      <c r="AA34" s="88">
        <f>$G$7*W34*'Vehicle Infos'!$L$29</f>
        <v>21.053361000000002</v>
      </c>
      <c r="AB34" s="90"/>
      <c r="AC34" s="23"/>
      <c r="AD34" s="23"/>
      <c r="AE34" s="23"/>
      <c r="AF34" s="23"/>
      <c r="AG34" s="23"/>
      <c r="AH34" s="23"/>
      <c r="AI34" s="23"/>
      <c r="AJ34" s="23"/>
    </row>
    <row r="35" spans="1:36" ht="15.75" customHeight="1" x14ac:dyDescent="0.35">
      <c r="A35" s="23"/>
      <c r="B35" s="23"/>
      <c r="C35" s="44" t="s">
        <v>153</v>
      </c>
      <c r="D35" s="45">
        <v>10</v>
      </c>
      <c r="E35" s="45">
        <v>1</v>
      </c>
      <c r="F35" s="46" t="s">
        <v>197</v>
      </c>
      <c r="G35" s="47">
        <v>7</v>
      </c>
      <c r="H35" s="181"/>
      <c r="I35" s="44">
        <f>$D$7*E35*'Vehicle Infos'!$L$10</f>
        <v>53.819729333333335</v>
      </c>
      <c r="J35" s="90"/>
      <c r="K35" s="90"/>
      <c r="L35" s="44" t="s">
        <v>155</v>
      </c>
      <c r="M35" s="48">
        <v>12</v>
      </c>
      <c r="N35" s="51">
        <v>3</v>
      </c>
      <c r="O35" s="46" t="s">
        <v>300</v>
      </c>
      <c r="P35" s="47">
        <v>7</v>
      </c>
      <c r="Q35" s="181"/>
      <c r="R35" s="49">
        <f>$F$7*N35*'Vehicle Infos'!$L$21</f>
        <v>41.454243428571424</v>
      </c>
      <c r="S35" s="90"/>
      <c r="U35" s="44" t="s">
        <v>156</v>
      </c>
      <c r="V35" s="48">
        <v>12</v>
      </c>
      <c r="W35" s="51">
        <v>4.5</v>
      </c>
      <c r="X35" s="46" t="s">
        <v>301</v>
      </c>
      <c r="Y35" s="47">
        <v>25</v>
      </c>
      <c r="Z35" s="196"/>
      <c r="AA35" s="88">
        <f>$G$7*W35*'Vehicle Infos'!$L$29</f>
        <v>47.370062250000004</v>
      </c>
      <c r="AB35" s="90"/>
      <c r="AC35" s="23"/>
      <c r="AD35" s="23"/>
      <c r="AE35" s="23"/>
      <c r="AF35" s="23"/>
      <c r="AG35" s="23"/>
      <c r="AH35" s="23"/>
      <c r="AI35" s="23"/>
      <c r="AJ35" s="23"/>
    </row>
    <row r="36" spans="1:36" ht="15.75" customHeight="1" x14ac:dyDescent="0.35">
      <c r="A36" s="23"/>
      <c r="B36" s="23"/>
      <c r="C36" s="44" t="s">
        <v>158</v>
      </c>
      <c r="D36" s="45">
        <v>11</v>
      </c>
      <c r="E36" s="45">
        <v>1</v>
      </c>
      <c r="F36" s="46" t="s">
        <v>302</v>
      </c>
      <c r="G36" s="47">
        <v>14</v>
      </c>
      <c r="H36" s="181"/>
      <c r="I36" s="44">
        <f>$D$7*E36*'Vehicle Infos'!$L$10</f>
        <v>53.819729333333335</v>
      </c>
      <c r="J36" s="90"/>
      <c r="K36" s="90"/>
      <c r="L36" s="44" t="s">
        <v>160</v>
      </c>
      <c r="M36" s="48">
        <v>15.5</v>
      </c>
      <c r="N36" s="51">
        <v>3.5</v>
      </c>
      <c r="O36" s="46" t="s">
        <v>303</v>
      </c>
      <c r="P36" s="47">
        <v>12</v>
      </c>
      <c r="Q36" s="181"/>
      <c r="R36" s="49">
        <f>$F$7*N36*'Vehicle Infos'!$L$21</f>
        <v>48.363283999999993</v>
      </c>
      <c r="S36" s="90"/>
      <c r="U36" s="54" t="s">
        <v>162</v>
      </c>
      <c r="V36" s="48"/>
      <c r="W36" s="51">
        <f>SUM(W32:W35)</f>
        <v>12</v>
      </c>
      <c r="X36" s="46"/>
      <c r="Y36" s="75">
        <f>SUM(Y31:Y35)</f>
        <v>50</v>
      </c>
      <c r="Z36" s="196"/>
      <c r="AA36" s="88">
        <f>$G$7*W36*'Vehicle Infos'!$L$29</f>
        <v>126.32016600000001</v>
      </c>
      <c r="AB36" s="90"/>
      <c r="AC36" s="23"/>
      <c r="AD36" s="23"/>
      <c r="AE36" s="23"/>
      <c r="AF36" s="23"/>
      <c r="AG36" s="23"/>
      <c r="AH36" s="23"/>
      <c r="AI36" s="23"/>
      <c r="AJ36" s="23"/>
    </row>
    <row r="37" spans="1:36" ht="15.75" customHeight="1" x14ac:dyDescent="0.35">
      <c r="A37" s="23"/>
      <c r="B37" s="23"/>
      <c r="C37" s="44" t="s">
        <v>163</v>
      </c>
      <c r="D37" s="45">
        <v>12</v>
      </c>
      <c r="E37" s="45">
        <v>1</v>
      </c>
      <c r="F37" s="46" t="s">
        <v>204</v>
      </c>
      <c r="G37" s="47">
        <v>7</v>
      </c>
      <c r="H37" s="181"/>
      <c r="I37" s="44">
        <f>$D$7*E37*'Vehicle Infos'!$L$10</f>
        <v>53.819729333333335</v>
      </c>
      <c r="J37" s="90"/>
      <c r="K37" s="90"/>
      <c r="L37" s="44" t="s">
        <v>165</v>
      </c>
      <c r="M37" s="48">
        <v>18.5</v>
      </c>
      <c r="N37" s="51">
        <v>3</v>
      </c>
      <c r="O37" s="46" t="s">
        <v>190</v>
      </c>
      <c r="P37" s="47">
        <v>15</v>
      </c>
      <c r="Q37" s="193"/>
      <c r="R37" s="49">
        <f>$F$7*N37*'Vehicle Infos'!$L$21</f>
        <v>41.454243428571424</v>
      </c>
      <c r="S37" s="90"/>
      <c r="U37" s="44"/>
      <c r="V37" s="48"/>
      <c r="W37" s="51"/>
      <c r="X37" s="46"/>
      <c r="Y37" s="47"/>
      <c r="Z37" s="90"/>
      <c r="AA37" s="90"/>
      <c r="AB37" s="90"/>
      <c r="AC37" s="23"/>
      <c r="AD37" s="23"/>
      <c r="AE37" s="23"/>
      <c r="AF37" s="23"/>
      <c r="AG37" s="23"/>
      <c r="AH37" s="23"/>
      <c r="AI37" s="23"/>
      <c r="AJ37" s="23"/>
    </row>
    <row r="38" spans="1:36" ht="15.75" customHeight="1" x14ac:dyDescent="0.35">
      <c r="A38" s="23"/>
      <c r="B38" s="23"/>
      <c r="C38" s="44" t="s">
        <v>167</v>
      </c>
      <c r="D38" s="45">
        <v>14</v>
      </c>
      <c r="E38" s="45">
        <v>2</v>
      </c>
      <c r="F38" s="46" t="s">
        <v>304</v>
      </c>
      <c r="G38" s="47">
        <v>9</v>
      </c>
      <c r="H38" s="181"/>
      <c r="I38" s="44">
        <f>$D$7*E38*'Vehicle Infos'!$L$10</f>
        <v>107.63945866666667</v>
      </c>
      <c r="J38" s="90"/>
      <c r="K38" s="90"/>
      <c r="L38" s="54" t="s">
        <v>162</v>
      </c>
      <c r="M38" s="49"/>
      <c r="N38" s="76">
        <f>SUM(N31:N37)</f>
        <v>18.5</v>
      </c>
      <c r="O38" s="58"/>
      <c r="P38" s="75">
        <f>SUM(P32:P37)</f>
        <v>51</v>
      </c>
      <c r="Q38" s="75">
        <f>SUM(Q31)</f>
        <v>794.91059999999993</v>
      </c>
      <c r="R38" s="49">
        <f>$F$7*N38*'Vehicle Infos'!$L$21</f>
        <v>255.63450114285709</v>
      </c>
      <c r="S38" s="90"/>
      <c r="U38" s="23"/>
      <c r="V38" s="23"/>
      <c r="W38" s="23"/>
      <c r="X38" s="23"/>
      <c r="Y38" s="23"/>
      <c r="Z38" s="90"/>
      <c r="AA38" s="90"/>
      <c r="AB38" s="90"/>
      <c r="AC38" s="23"/>
      <c r="AD38" s="23"/>
      <c r="AE38" s="23"/>
      <c r="AF38" s="23"/>
      <c r="AG38" s="23"/>
      <c r="AH38" s="23"/>
      <c r="AI38" s="23"/>
      <c r="AJ38" s="23"/>
    </row>
    <row r="39" spans="1:36" ht="15.75" customHeight="1" x14ac:dyDescent="0.35">
      <c r="A39" s="23"/>
      <c r="B39" s="23"/>
      <c r="C39" s="44" t="s">
        <v>169</v>
      </c>
      <c r="D39" s="45">
        <v>14.5</v>
      </c>
      <c r="E39" s="45">
        <v>0.5</v>
      </c>
      <c r="F39" s="46" t="s">
        <v>305</v>
      </c>
      <c r="G39" s="47">
        <v>3</v>
      </c>
      <c r="H39" s="181"/>
      <c r="I39" s="44">
        <f>$D$7*E39*'Vehicle Infos'!$L$10</f>
        <v>26.909864666666667</v>
      </c>
      <c r="J39" s="90"/>
      <c r="K39" s="90"/>
      <c r="L39" s="23"/>
      <c r="M39" s="23"/>
      <c r="N39" s="23"/>
      <c r="O39" s="23"/>
      <c r="P39" s="23"/>
      <c r="Q39" s="23"/>
      <c r="R39" s="23"/>
      <c r="S39" s="90"/>
      <c r="U39" s="23"/>
      <c r="V39" s="23"/>
      <c r="W39" s="23"/>
      <c r="X39" s="23"/>
      <c r="Y39" s="23"/>
      <c r="Z39" s="90"/>
      <c r="AA39" s="90"/>
      <c r="AB39" s="90"/>
      <c r="AC39" s="23"/>
      <c r="AD39" s="23"/>
      <c r="AE39" s="23"/>
      <c r="AF39" s="23"/>
      <c r="AG39" s="23"/>
      <c r="AH39" s="23"/>
      <c r="AI39" s="23"/>
      <c r="AJ39" s="23"/>
    </row>
    <row r="40" spans="1:36" ht="15.75" customHeight="1" x14ac:dyDescent="0.35">
      <c r="A40" s="23"/>
      <c r="B40" s="23"/>
      <c r="C40" s="44" t="s">
        <v>171</v>
      </c>
      <c r="D40" s="45">
        <v>15</v>
      </c>
      <c r="E40" s="45">
        <v>0.5</v>
      </c>
      <c r="F40" s="46" t="s">
        <v>306</v>
      </c>
      <c r="G40" s="47">
        <v>2</v>
      </c>
      <c r="H40" s="193"/>
      <c r="I40" s="44">
        <f>$D$7*E40*'Vehicle Infos'!$L$10</f>
        <v>26.909864666666667</v>
      </c>
      <c r="J40" s="90"/>
      <c r="K40" s="90"/>
      <c r="L40" s="23"/>
      <c r="M40" s="23"/>
      <c r="N40" s="23"/>
      <c r="O40" s="23"/>
      <c r="P40" s="23"/>
      <c r="Q40" s="23"/>
      <c r="R40" s="23"/>
      <c r="S40" s="90"/>
      <c r="U40" s="23"/>
      <c r="V40" s="23"/>
      <c r="W40" s="23"/>
      <c r="X40" s="23"/>
      <c r="Y40" s="23"/>
      <c r="Z40" s="90"/>
      <c r="AA40" s="90"/>
      <c r="AB40" s="90"/>
      <c r="AC40" s="23"/>
      <c r="AD40" s="23"/>
      <c r="AE40" s="23"/>
      <c r="AF40" s="23"/>
      <c r="AG40" s="23"/>
      <c r="AH40" s="23"/>
      <c r="AI40" s="23"/>
      <c r="AJ40" s="23"/>
    </row>
    <row r="41" spans="1:36" ht="15.75" customHeight="1" x14ac:dyDescent="0.35">
      <c r="A41" s="23"/>
      <c r="B41" s="23"/>
      <c r="C41" s="54" t="s">
        <v>162</v>
      </c>
      <c r="D41" s="49"/>
      <c r="E41" s="76">
        <v>15</v>
      </c>
      <c r="F41" s="58"/>
      <c r="G41" s="75">
        <f>SUM(G32:G40)</f>
        <v>60</v>
      </c>
      <c r="H41" s="47">
        <f>SUM(H31)</f>
        <v>1661.5500000000002</v>
      </c>
      <c r="I41" s="44">
        <f>$D$7*E41*'Vehicle Infos'!$L$10</f>
        <v>807.29593999999997</v>
      </c>
      <c r="J41" s="68"/>
      <c r="K41" s="68"/>
      <c r="L41" s="23"/>
      <c r="M41" s="23"/>
      <c r="N41" s="23"/>
      <c r="O41" s="23"/>
      <c r="P41" s="23"/>
      <c r="Q41" s="23"/>
      <c r="R41" s="23"/>
      <c r="S41" s="68"/>
      <c r="U41" s="23"/>
      <c r="V41" s="23"/>
      <c r="W41" s="23"/>
      <c r="X41" s="23"/>
      <c r="Y41" s="23"/>
      <c r="Z41" s="68"/>
      <c r="AA41" s="68"/>
      <c r="AB41" s="68"/>
      <c r="AC41" s="23"/>
      <c r="AD41" s="23"/>
      <c r="AE41" s="23"/>
      <c r="AF41" s="23"/>
      <c r="AG41" s="23"/>
      <c r="AH41" s="23"/>
      <c r="AI41" s="23"/>
      <c r="AJ41" s="23"/>
    </row>
    <row r="42" spans="1:36" ht="15.7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6" ht="21.75" customHeight="1" x14ac:dyDescent="0.35">
      <c r="A44" s="23"/>
      <c r="B44" s="23"/>
      <c r="C44" s="32" t="s">
        <v>307</v>
      </c>
      <c r="D44" s="69"/>
      <c r="E44" s="69"/>
      <c r="F44" s="69"/>
      <c r="G44" s="69"/>
      <c r="H44" s="69"/>
      <c r="I44" s="69"/>
      <c r="J44" s="23"/>
      <c r="K44" s="23"/>
      <c r="L44" s="32" t="s">
        <v>307</v>
      </c>
      <c r="M44" s="33"/>
      <c r="N44" s="33"/>
      <c r="O44" s="33"/>
      <c r="P44" s="33"/>
      <c r="Q44" s="33"/>
      <c r="R44" s="33"/>
      <c r="S44" s="23"/>
      <c r="U44" s="32" t="s">
        <v>307</v>
      </c>
      <c r="V44" s="33"/>
      <c r="W44" s="33"/>
      <c r="X44" s="33"/>
      <c r="Y44" s="3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6" ht="64.5" customHeight="1" x14ac:dyDescent="0.4">
      <c r="A45" s="23"/>
      <c r="B45" s="23"/>
      <c r="C45" s="37" t="s">
        <v>176</v>
      </c>
      <c r="D45" s="38" t="s">
        <v>122</v>
      </c>
      <c r="E45" s="38" t="s">
        <v>129</v>
      </c>
      <c r="F45" s="38" t="s">
        <v>130</v>
      </c>
      <c r="G45" s="38" t="s">
        <v>131</v>
      </c>
      <c r="H45" s="39" t="s">
        <v>126</v>
      </c>
      <c r="I45" s="40" t="s">
        <v>127</v>
      </c>
      <c r="J45" s="85"/>
      <c r="K45" s="85"/>
      <c r="L45" s="72" t="s">
        <v>177</v>
      </c>
      <c r="M45" s="38" t="s">
        <v>122</v>
      </c>
      <c r="N45" s="38" t="s">
        <v>129</v>
      </c>
      <c r="O45" s="38" t="s">
        <v>130</v>
      </c>
      <c r="P45" s="38" t="s">
        <v>131</v>
      </c>
      <c r="Q45" s="39" t="s">
        <v>126</v>
      </c>
      <c r="R45" s="40" t="s">
        <v>127</v>
      </c>
      <c r="S45" s="85"/>
      <c r="U45" s="72" t="s">
        <v>178</v>
      </c>
      <c r="V45" s="38" t="s">
        <v>122</v>
      </c>
      <c r="W45" s="38" t="s">
        <v>129</v>
      </c>
      <c r="X45" s="38" t="s">
        <v>130</v>
      </c>
      <c r="Y45" s="38" t="s">
        <v>131</v>
      </c>
      <c r="Z45" s="39" t="s">
        <v>126</v>
      </c>
      <c r="AA45" s="40" t="s">
        <v>127</v>
      </c>
      <c r="AB45" s="85"/>
      <c r="AC45" s="23"/>
      <c r="AD45" s="23"/>
      <c r="AE45" s="23"/>
      <c r="AF45" s="23"/>
      <c r="AG45" s="23"/>
      <c r="AH45" s="23"/>
      <c r="AI45" s="23"/>
      <c r="AJ45" s="23"/>
    </row>
    <row r="46" spans="1:36" ht="15.75" customHeight="1" x14ac:dyDescent="0.35">
      <c r="A46" s="23"/>
      <c r="B46" s="23"/>
      <c r="C46" s="44" t="s">
        <v>133</v>
      </c>
      <c r="D46" s="45">
        <v>0</v>
      </c>
      <c r="E46" s="45">
        <v>0</v>
      </c>
      <c r="F46" s="46" t="s">
        <v>214</v>
      </c>
      <c r="G46" s="47"/>
      <c r="H46" s="180">
        <f>D8*D3*'Vehicle Infos'!K10</f>
        <v>3084.6000000000004</v>
      </c>
      <c r="I46" s="44">
        <f>$D$8*E46*'Vehicle Infos'!$L$10</f>
        <v>0</v>
      </c>
      <c r="J46" s="88"/>
      <c r="K46" s="88"/>
      <c r="L46" s="44" t="s">
        <v>135</v>
      </c>
      <c r="M46" s="48">
        <v>0</v>
      </c>
      <c r="N46" s="47">
        <v>0</v>
      </c>
      <c r="O46" s="46" t="s">
        <v>215</v>
      </c>
      <c r="P46" s="47"/>
      <c r="Q46" s="180">
        <f>F8*F3*'Vehicle Infos'!K21</f>
        <v>899.50409999999999</v>
      </c>
      <c r="R46" s="49">
        <f>$F$8*N46*'Vehicle Infos'!$L$21</f>
        <v>0</v>
      </c>
      <c r="S46" s="88"/>
      <c r="U46" s="44" t="s">
        <v>136</v>
      </c>
      <c r="V46" s="48">
        <v>0</v>
      </c>
      <c r="W46" s="47">
        <v>0</v>
      </c>
      <c r="X46" s="46" t="s">
        <v>308</v>
      </c>
      <c r="Y46" s="47">
        <v>0</v>
      </c>
      <c r="Z46" s="195">
        <f>G8*G3*'Vehicle Infos'!K29</f>
        <v>475.19999999999993</v>
      </c>
      <c r="AA46" s="88">
        <f>$G$8*W46*'Vehicle Infos'!$L$29</f>
        <v>0</v>
      </c>
      <c r="AB46" s="88"/>
      <c r="AC46" s="23"/>
      <c r="AD46" s="23"/>
      <c r="AE46" s="23"/>
      <c r="AF46" s="23"/>
      <c r="AG46" s="23"/>
      <c r="AH46" s="23"/>
      <c r="AI46" s="23"/>
      <c r="AJ46" s="23"/>
    </row>
    <row r="47" spans="1:36" ht="15.75" customHeight="1" x14ac:dyDescent="0.35">
      <c r="A47" s="23"/>
      <c r="B47" s="23"/>
      <c r="C47" s="44" t="s">
        <v>137</v>
      </c>
      <c r="D47" s="45">
        <v>7.5</v>
      </c>
      <c r="E47" s="45">
        <v>7.5</v>
      </c>
      <c r="F47" s="46" t="s">
        <v>217</v>
      </c>
      <c r="G47" s="47">
        <v>7</v>
      </c>
      <c r="H47" s="181"/>
      <c r="I47" s="44">
        <f>$D$8*E47*'Vehicle Infos'!$L$10</f>
        <v>749.35604000000001</v>
      </c>
      <c r="J47" s="90"/>
      <c r="K47" s="90"/>
      <c r="L47" s="44" t="s">
        <v>139</v>
      </c>
      <c r="M47" s="48">
        <v>1</v>
      </c>
      <c r="N47" s="47">
        <v>1</v>
      </c>
      <c r="O47" s="46" t="s">
        <v>218</v>
      </c>
      <c r="P47" s="47">
        <v>2</v>
      </c>
      <c r="Q47" s="181"/>
      <c r="R47" s="49">
        <f>$F$8*N47*'Vehicle Infos'!$L$21</f>
        <v>15.636249714285711</v>
      </c>
      <c r="S47" s="90"/>
      <c r="U47" s="44" t="s">
        <v>141</v>
      </c>
      <c r="V47" s="48">
        <v>3</v>
      </c>
      <c r="W47" s="51">
        <v>3</v>
      </c>
      <c r="X47" s="46" t="s">
        <v>309</v>
      </c>
      <c r="Y47" s="47">
        <v>5</v>
      </c>
      <c r="Z47" s="196"/>
      <c r="AA47" s="88">
        <f>$G$8*W47*'Vehicle Infos'!$L$29</f>
        <v>30.076230000000002</v>
      </c>
      <c r="AB47" s="90"/>
      <c r="AC47" s="23"/>
      <c r="AD47" s="23"/>
      <c r="AE47" s="23"/>
      <c r="AF47" s="23"/>
      <c r="AG47" s="23"/>
      <c r="AH47" s="23"/>
      <c r="AI47" s="23"/>
      <c r="AJ47" s="23"/>
    </row>
    <row r="48" spans="1:36" ht="15.75" customHeight="1" x14ac:dyDescent="0.35">
      <c r="A48" s="23"/>
      <c r="B48" s="23"/>
      <c r="C48" s="44" t="s">
        <v>143</v>
      </c>
      <c r="D48" s="45">
        <v>8</v>
      </c>
      <c r="E48" s="45">
        <v>0.5</v>
      </c>
      <c r="F48" s="46" t="s">
        <v>220</v>
      </c>
      <c r="G48" s="47">
        <v>2</v>
      </c>
      <c r="H48" s="181"/>
      <c r="I48" s="44">
        <f>$D$8*E48*'Vehicle Infos'!$L$10</f>
        <v>49.957069333333337</v>
      </c>
      <c r="J48" s="90"/>
      <c r="K48" s="90"/>
      <c r="L48" s="44" t="s">
        <v>145</v>
      </c>
      <c r="M48" s="48">
        <v>2.5</v>
      </c>
      <c r="N48" s="51">
        <v>1.5</v>
      </c>
      <c r="O48" s="46" t="s">
        <v>221</v>
      </c>
      <c r="P48" s="47">
        <v>4</v>
      </c>
      <c r="Q48" s="181"/>
      <c r="R48" s="49">
        <f>$F$8*N48*'Vehicle Infos'!$L$21</f>
        <v>23.454374571428566</v>
      </c>
      <c r="S48" s="90"/>
      <c r="U48" s="44" t="s">
        <v>146</v>
      </c>
      <c r="V48" s="48">
        <v>5.5</v>
      </c>
      <c r="W48" s="51">
        <v>2.5</v>
      </c>
      <c r="X48" s="46" t="s">
        <v>310</v>
      </c>
      <c r="Y48" s="47">
        <v>6</v>
      </c>
      <c r="Z48" s="196"/>
      <c r="AA48" s="88">
        <f>$G$8*W48*'Vehicle Infos'!$L$29</f>
        <v>25.063525000000002</v>
      </c>
      <c r="AB48" s="90"/>
      <c r="AC48" s="23"/>
      <c r="AD48" s="23"/>
      <c r="AE48" s="23"/>
      <c r="AF48" s="23"/>
      <c r="AG48" s="23"/>
      <c r="AH48" s="23"/>
      <c r="AI48" s="23"/>
      <c r="AJ48" s="23"/>
    </row>
    <row r="49" spans="1:36" ht="15.75" customHeight="1" x14ac:dyDescent="0.35">
      <c r="A49" s="23"/>
      <c r="B49" s="23"/>
      <c r="C49" s="44" t="s">
        <v>148</v>
      </c>
      <c r="D49" s="45">
        <v>9</v>
      </c>
      <c r="E49" s="45">
        <v>1</v>
      </c>
      <c r="F49" s="46" t="s">
        <v>311</v>
      </c>
      <c r="G49" s="47">
        <v>3</v>
      </c>
      <c r="H49" s="181"/>
      <c r="I49" s="44">
        <f>$D$8*E49*'Vehicle Infos'!$L$10</f>
        <v>99.914138666666673</v>
      </c>
      <c r="J49" s="90"/>
      <c r="K49" s="90"/>
      <c r="L49" s="44" t="s">
        <v>150</v>
      </c>
      <c r="M49" s="48">
        <v>9</v>
      </c>
      <c r="N49" s="51">
        <v>6.5</v>
      </c>
      <c r="O49" s="46" t="s">
        <v>312</v>
      </c>
      <c r="P49" s="47">
        <v>10</v>
      </c>
      <c r="Q49" s="181"/>
      <c r="R49" s="49">
        <f>$F$8*N49*'Vehicle Infos'!$L$21</f>
        <v>101.63562314285713</v>
      </c>
      <c r="S49" s="90"/>
      <c r="U49" s="44" t="s">
        <v>151</v>
      </c>
      <c r="V49" s="48">
        <v>7.5</v>
      </c>
      <c r="W49" s="51">
        <v>2</v>
      </c>
      <c r="X49" s="46" t="s">
        <v>313</v>
      </c>
      <c r="Y49" s="47">
        <v>8</v>
      </c>
      <c r="Z49" s="196"/>
      <c r="AA49" s="88">
        <f>$G$8*W49*'Vehicle Infos'!$L$29</f>
        <v>20.050820000000002</v>
      </c>
      <c r="AB49" s="90"/>
      <c r="AC49" s="23"/>
      <c r="AD49" s="23"/>
      <c r="AE49" s="23"/>
      <c r="AF49" s="23"/>
      <c r="AG49" s="23"/>
      <c r="AH49" s="23"/>
      <c r="AI49" s="23"/>
      <c r="AJ49" s="23"/>
    </row>
    <row r="50" spans="1:36" ht="15.75" customHeight="1" x14ac:dyDescent="0.35">
      <c r="A50" s="23"/>
      <c r="B50" s="23"/>
      <c r="C50" s="44" t="s">
        <v>153</v>
      </c>
      <c r="D50" s="45">
        <v>10</v>
      </c>
      <c r="E50" s="45">
        <v>1</v>
      </c>
      <c r="F50" s="46" t="s">
        <v>314</v>
      </c>
      <c r="G50" s="47">
        <v>3</v>
      </c>
      <c r="H50" s="181"/>
      <c r="I50" s="44">
        <f>$D$8*E50*'Vehicle Infos'!$L$10</f>
        <v>99.914138666666673</v>
      </c>
      <c r="J50" s="90"/>
      <c r="K50" s="90"/>
      <c r="L50" s="44" t="s">
        <v>155</v>
      </c>
      <c r="M50" s="48">
        <v>12</v>
      </c>
      <c r="N50" s="51">
        <v>3</v>
      </c>
      <c r="O50" s="46" t="s">
        <v>227</v>
      </c>
      <c r="P50" s="47">
        <v>5</v>
      </c>
      <c r="Q50" s="181"/>
      <c r="R50" s="49">
        <f>$F$8*N50*'Vehicle Infos'!$L$21</f>
        <v>46.908749142857133</v>
      </c>
      <c r="S50" s="90"/>
      <c r="U50" s="44" t="s">
        <v>156</v>
      </c>
      <c r="V50" s="48">
        <v>12</v>
      </c>
      <c r="W50" s="51">
        <v>4.5</v>
      </c>
      <c r="X50" s="46" t="s">
        <v>315</v>
      </c>
      <c r="Y50" s="47">
        <v>15</v>
      </c>
      <c r="Z50" s="196"/>
      <c r="AA50" s="88">
        <f>$G$8*W50*'Vehicle Infos'!$L$29</f>
        <v>45.114345</v>
      </c>
      <c r="AB50" s="90"/>
      <c r="AC50" s="23"/>
      <c r="AD50" s="23"/>
      <c r="AE50" s="23"/>
      <c r="AF50" s="23"/>
      <c r="AG50" s="23"/>
      <c r="AH50" s="23"/>
      <c r="AI50" s="23"/>
      <c r="AJ50" s="23"/>
    </row>
    <row r="51" spans="1:36" ht="15.75" customHeight="1" x14ac:dyDescent="0.35">
      <c r="A51" s="23"/>
      <c r="B51" s="23"/>
      <c r="C51" s="44" t="s">
        <v>158</v>
      </c>
      <c r="D51" s="45">
        <v>11</v>
      </c>
      <c r="E51" s="45">
        <v>1</v>
      </c>
      <c r="F51" s="46" t="s">
        <v>229</v>
      </c>
      <c r="G51" s="47">
        <v>9</v>
      </c>
      <c r="H51" s="181"/>
      <c r="I51" s="44">
        <f>$D$8*E51*'Vehicle Infos'!$L$10</f>
        <v>99.914138666666673</v>
      </c>
      <c r="J51" s="90"/>
      <c r="K51" s="90"/>
      <c r="L51" s="44" t="s">
        <v>160</v>
      </c>
      <c r="M51" s="48">
        <v>15.5</v>
      </c>
      <c r="N51" s="51">
        <v>3.5</v>
      </c>
      <c r="O51" s="46" t="s">
        <v>316</v>
      </c>
      <c r="P51" s="47">
        <v>5</v>
      </c>
      <c r="Q51" s="181"/>
      <c r="R51" s="49">
        <f>$F$8*N51*'Vehicle Infos'!$L$21</f>
        <v>54.726873999999988</v>
      </c>
      <c r="S51" s="90"/>
      <c r="U51" s="54" t="s">
        <v>162</v>
      </c>
      <c r="V51" s="48"/>
      <c r="W51" s="51">
        <f>SUM(W46:W50)</f>
        <v>12</v>
      </c>
      <c r="X51" s="46"/>
      <c r="Y51" s="75">
        <f>SUM(Y46:Y50)</f>
        <v>34</v>
      </c>
      <c r="Z51" s="90"/>
      <c r="AA51" s="88">
        <f>$G$8*W51*'Vehicle Infos'!$L$29</f>
        <v>120.30492000000001</v>
      </c>
      <c r="AB51" s="90"/>
      <c r="AC51" s="23"/>
      <c r="AD51" s="23"/>
      <c r="AE51" s="23"/>
      <c r="AF51" s="23"/>
      <c r="AG51" s="23"/>
      <c r="AH51" s="23"/>
      <c r="AI51" s="23"/>
      <c r="AJ51" s="23"/>
    </row>
    <row r="52" spans="1:36" ht="15.75" customHeight="1" x14ac:dyDescent="0.35">
      <c r="A52" s="23"/>
      <c r="B52" s="23"/>
      <c r="C52" s="44" t="s">
        <v>163</v>
      </c>
      <c r="D52" s="45">
        <v>12</v>
      </c>
      <c r="E52" s="45">
        <v>1</v>
      </c>
      <c r="F52" s="46" t="s">
        <v>231</v>
      </c>
      <c r="G52" s="47">
        <v>4</v>
      </c>
      <c r="H52" s="181"/>
      <c r="I52" s="44">
        <f>$D$8*E52*'Vehicle Infos'!$L$10</f>
        <v>99.914138666666673</v>
      </c>
      <c r="J52" s="90"/>
      <c r="K52" s="90"/>
      <c r="L52" s="44" t="s">
        <v>165</v>
      </c>
      <c r="M52" s="48">
        <v>18.5</v>
      </c>
      <c r="N52" s="51">
        <v>3</v>
      </c>
      <c r="O52" s="46" t="s">
        <v>317</v>
      </c>
      <c r="P52" s="47">
        <v>5</v>
      </c>
      <c r="Q52" s="193"/>
      <c r="R52" s="49">
        <f>$F$8*N52*'Vehicle Infos'!$L$21</f>
        <v>46.908749142857133</v>
      </c>
      <c r="S52" s="90"/>
      <c r="U52" s="23"/>
      <c r="V52" s="23"/>
      <c r="W52" s="23"/>
      <c r="X52" s="23"/>
      <c r="Y52" s="23"/>
      <c r="Z52" s="90"/>
      <c r="AA52" s="90"/>
      <c r="AB52" s="90"/>
      <c r="AC52" s="23"/>
      <c r="AD52" s="23"/>
      <c r="AE52" s="23"/>
      <c r="AF52" s="23"/>
      <c r="AG52" s="23"/>
      <c r="AH52" s="23"/>
      <c r="AI52" s="23"/>
      <c r="AJ52" s="23"/>
    </row>
    <row r="53" spans="1:36" ht="15.75" customHeight="1" x14ac:dyDescent="0.35">
      <c r="A53" s="23"/>
      <c r="B53" s="23"/>
      <c r="C53" s="44" t="s">
        <v>167</v>
      </c>
      <c r="D53" s="45">
        <v>14</v>
      </c>
      <c r="E53" s="45">
        <v>2</v>
      </c>
      <c r="F53" s="46" t="s">
        <v>318</v>
      </c>
      <c r="G53" s="47">
        <v>4</v>
      </c>
      <c r="H53" s="181"/>
      <c r="I53" s="44">
        <f>$D$8*E53*'Vehicle Infos'!$L$10</f>
        <v>199.82827733333335</v>
      </c>
      <c r="J53" s="90"/>
      <c r="K53" s="90"/>
      <c r="L53" s="54" t="s">
        <v>162</v>
      </c>
      <c r="M53" s="49"/>
      <c r="N53" s="45">
        <f>SUM(N46:N52)</f>
        <v>18.5</v>
      </c>
      <c r="O53" s="58"/>
      <c r="P53" s="75">
        <f>SUM(P47:P52)</f>
        <v>31</v>
      </c>
      <c r="Q53" s="75">
        <f>SUM(Q46)</f>
        <v>899.50409999999999</v>
      </c>
      <c r="R53" s="49">
        <f>$F$8*N53*'Vehicle Infos'!$L$21</f>
        <v>289.27061971428566</v>
      </c>
      <c r="S53" s="90"/>
      <c r="U53" s="23"/>
      <c r="V53" s="23"/>
      <c r="W53" s="23"/>
      <c r="X53" s="23"/>
      <c r="Y53" s="23"/>
      <c r="Z53" s="90"/>
      <c r="AA53" s="90"/>
      <c r="AB53" s="90"/>
      <c r="AC53" s="23"/>
      <c r="AD53" s="23"/>
      <c r="AE53" s="23"/>
      <c r="AF53" s="23"/>
      <c r="AG53" s="23"/>
      <c r="AH53" s="23"/>
      <c r="AI53" s="23"/>
      <c r="AJ53" s="23"/>
    </row>
    <row r="54" spans="1:36" ht="15.75" customHeight="1" x14ac:dyDescent="0.35">
      <c r="A54" s="23"/>
      <c r="B54" s="23"/>
      <c r="C54" s="44" t="s">
        <v>169</v>
      </c>
      <c r="D54" s="45">
        <v>14.5</v>
      </c>
      <c r="E54" s="45">
        <v>0.5</v>
      </c>
      <c r="F54" s="46" t="s">
        <v>319</v>
      </c>
      <c r="G54" s="47">
        <v>2</v>
      </c>
      <c r="H54" s="181"/>
      <c r="I54" s="44">
        <f>$D$8*E54*'Vehicle Infos'!$L$10</f>
        <v>49.957069333333337</v>
      </c>
      <c r="J54" s="90"/>
      <c r="K54" s="90"/>
      <c r="L54" s="23"/>
      <c r="M54" s="23"/>
      <c r="N54" s="23"/>
      <c r="O54" s="23"/>
      <c r="P54" s="23"/>
      <c r="Q54" s="23"/>
      <c r="R54" s="23"/>
      <c r="S54" s="90"/>
      <c r="U54" s="23"/>
      <c r="V54" s="23"/>
      <c r="W54" s="23"/>
      <c r="X54" s="23"/>
      <c r="Y54" s="23"/>
      <c r="Z54" s="90"/>
      <c r="AA54" s="90"/>
      <c r="AB54" s="90"/>
      <c r="AC54" s="23"/>
      <c r="AD54" s="23"/>
      <c r="AE54" s="23"/>
      <c r="AF54" s="23"/>
      <c r="AG54" s="23"/>
      <c r="AH54" s="23"/>
      <c r="AI54" s="23"/>
      <c r="AJ54" s="23"/>
    </row>
    <row r="55" spans="1:36" ht="15.75" customHeight="1" x14ac:dyDescent="0.35">
      <c r="A55" s="23"/>
      <c r="B55" s="23"/>
      <c r="C55" s="44" t="s">
        <v>171</v>
      </c>
      <c r="D55" s="45">
        <v>15</v>
      </c>
      <c r="E55" s="45">
        <v>0.5</v>
      </c>
      <c r="F55" s="46" t="s">
        <v>234</v>
      </c>
      <c r="G55" s="47">
        <v>1</v>
      </c>
      <c r="H55" s="193"/>
      <c r="I55" s="44">
        <f>$D$8*E55*'Vehicle Infos'!$L$10</f>
        <v>49.957069333333337</v>
      </c>
      <c r="J55" s="90"/>
      <c r="K55" s="90"/>
      <c r="L55" s="23"/>
      <c r="M55" s="23"/>
      <c r="N55" s="23"/>
      <c r="O55" s="23"/>
      <c r="P55" s="23"/>
      <c r="Q55" s="23"/>
      <c r="R55" s="23"/>
      <c r="S55" s="90"/>
      <c r="U55" s="23"/>
      <c r="V55" s="23"/>
      <c r="W55" s="23"/>
      <c r="X55" s="23"/>
      <c r="Y55" s="23"/>
      <c r="Z55" s="90"/>
      <c r="AA55" s="90"/>
      <c r="AB55" s="90"/>
      <c r="AC55" s="23"/>
      <c r="AD55" s="23"/>
      <c r="AE55" s="23"/>
      <c r="AF55" s="23"/>
      <c r="AG55" s="23"/>
      <c r="AH55" s="23"/>
      <c r="AI55" s="23"/>
      <c r="AJ55" s="23"/>
    </row>
    <row r="56" spans="1:36" ht="15.75" customHeight="1" x14ac:dyDescent="0.35">
      <c r="A56" s="23"/>
      <c r="B56" s="23"/>
      <c r="C56" s="54" t="s">
        <v>162</v>
      </c>
      <c r="D56" s="49"/>
      <c r="E56" s="76">
        <v>15</v>
      </c>
      <c r="F56" s="58"/>
      <c r="G56" s="75">
        <f>SUM(G47:G55)</f>
        <v>35</v>
      </c>
      <c r="H56" s="47">
        <f>SUM(H46)</f>
        <v>3084.6000000000004</v>
      </c>
      <c r="I56" s="44">
        <f>$D$8*E56*'Vehicle Infos'!$L$10</f>
        <v>1498.71208</v>
      </c>
      <c r="J56" s="68"/>
      <c r="K56" s="68"/>
      <c r="L56" s="23"/>
      <c r="M56" s="23"/>
      <c r="N56" s="23"/>
      <c r="O56" s="23"/>
      <c r="P56" s="23"/>
      <c r="Q56" s="23"/>
      <c r="R56" s="23"/>
      <c r="S56" s="68"/>
      <c r="U56" s="23"/>
      <c r="V56" s="23"/>
      <c r="W56" s="23"/>
      <c r="X56" s="23"/>
      <c r="Y56" s="23"/>
      <c r="Z56" s="68"/>
      <c r="AA56" s="68"/>
      <c r="AB56" s="68"/>
      <c r="AC56" s="23"/>
      <c r="AD56" s="23"/>
      <c r="AE56" s="23"/>
      <c r="AF56" s="23"/>
      <c r="AG56" s="23"/>
      <c r="AH56" s="23"/>
      <c r="AI56" s="23"/>
      <c r="AJ56" s="23"/>
    </row>
    <row r="57" spans="1:36" ht="15.7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:36" ht="14.4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:36" ht="21" customHeight="1" x14ac:dyDescent="0.35">
      <c r="A59" s="23"/>
      <c r="B59" s="23"/>
      <c r="C59" s="32" t="s">
        <v>320</v>
      </c>
      <c r="D59" s="69"/>
      <c r="E59" s="69"/>
      <c r="F59" s="69"/>
      <c r="G59" s="69"/>
      <c r="H59" s="69"/>
      <c r="I59" s="69"/>
      <c r="J59" s="23"/>
      <c r="K59" s="23"/>
      <c r="L59" s="32" t="s">
        <v>320</v>
      </c>
      <c r="M59" s="33"/>
      <c r="N59" s="33"/>
      <c r="O59" s="33"/>
      <c r="P59" s="33"/>
      <c r="Q59" s="33"/>
      <c r="R59" s="33"/>
      <c r="S59" s="23"/>
      <c r="U59" s="32" t="s">
        <v>320</v>
      </c>
      <c r="V59" s="33"/>
      <c r="W59" s="33"/>
      <c r="X59" s="33"/>
      <c r="Y59" s="3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:36" ht="66" customHeight="1" x14ac:dyDescent="0.4">
      <c r="A60" s="23"/>
      <c r="B60" s="23"/>
      <c r="C60" s="37" t="s">
        <v>176</v>
      </c>
      <c r="D60" s="38" t="s">
        <v>122</v>
      </c>
      <c r="E60" s="38" t="s">
        <v>129</v>
      </c>
      <c r="F60" s="38" t="s">
        <v>130</v>
      </c>
      <c r="G60" s="38" t="s">
        <v>131</v>
      </c>
      <c r="H60" s="39" t="s">
        <v>126</v>
      </c>
      <c r="I60" s="40" t="s">
        <v>127</v>
      </c>
      <c r="J60" s="85"/>
      <c r="K60" s="85"/>
      <c r="L60" s="72" t="s">
        <v>177</v>
      </c>
      <c r="M60" s="38" t="s">
        <v>122</v>
      </c>
      <c r="N60" s="38" t="s">
        <v>129</v>
      </c>
      <c r="O60" s="38" t="s">
        <v>130</v>
      </c>
      <c r="P60" s="38" t="s">
        <v>131</v>
      </c>
      <c r="Q60" s="39" t="s">
        <v>126</v>
      </c>
      <c r="R60" s="40" t="s">
        <v>127</v>
      </c>
      <c r="S60" s="85"/>
      <c r="U60" s="72" t="s">
        <v>178</v>
      </c>
      <c r="V60" s="38" t="s">
        <v>122</v>
      </c>
      <c r="W60" s="38" t="s">
        <v>129</v>
      </c>
      <c r="X60" s="38" t="s">
        <v>130</v>
      </c>
      <c r="Y60" s="38" t="s">
        <v>131</v>
      </c>
      <c r="Z60" s="39" t="s">
        <v>126</v>
      </c>
      <c r="AA60" s="40" t="s">
        <v>127</v>
      </c>
      <c r="AB60" s="85"/>
      <c r="AC60" s="23"/>
      <c r="AD60" s="23"/>
      <c r="AE60" s="23"/>
      <c r="AF60" s="23"/>
      <c r="AG60" s="23"/>
      <c r="AH60" s="23"/>
      <c r="AI60" s="23"/>
      <c r="AJ60" s="23"/>
    </row>
    <row r="61" spans="1:36" ht="15.75" customHeight="1" x14ac:dyDescent="0.35">
      <c r="A61" s="23"/>
      <c r="B61" s="23"/>
      <c r="C61" s="44" t="s">
        <v>133</v>
      </c>
      <c r="D61" s="45">
        <v>0</v>
      </c>
      <c r="E61" s="45">
        <v>0</v>
      </c>
      <c r="F61" s="46" t="s">
        <v>238</v>
      </c>
      <c r="G61" s="47"/>
      <c r="H61" s="180">
        <f>D9*D3*'Vehicle Infos'!K10</f>
        <v>1685.4</v>
      </c>
      <c r="I61" s="44">
        <f>$D$9*E61*'Vehicle Infos'!$L$10</f>
        <v>0</v>
      </c>
      <c r="J61" s="88"/>
      <c r="K61" s="88"/>
      <c r="L61" s="44" t="s">
        <v>135</v>
      </c>
      <c r="M61" s="48">
        <v>0</v>
      </c>
      <c r="N61" s="47">
        <v>0</v>
      </c>
      <c r="O61" s="46" t="s">
        <v>238</v>
      </c>
      <c r="P61" s="47"/>
      <c r="Q61" s="180">
        <f>F9*F3*'Vehicle Infos'!K21</f>
        <v>889.04474999999991</v>
      </c>
      <c r="R61" s="49">
        <f>$F$9*N61*'Vehicle Infos'!$L$21</f>
        <v>0</v>
      </c>
      <c r="S61" s="88"/>
      <c r="U61" s="44" t="s">
        <v>136</v>
      </c>
      <c r="V61" s="48">
        <v>0</v>
      </c>
      <c r="W61" s="47">
        <v>0</v>
      </c>
      <c r="X61" s="46" t="s">
        <v>216</v>
      </c>
      <c r="Y61" s="47">
        <v>0</v>
      </c>
      <c r="Z61" s="195">
        <f>G9*G3*'Vehicle Infos'!K29</f>
        <v>308.88</v>
      </c>
      <c r="AA61" s="88">
        <f>$G$9*W61*'Vehicle Infos'!$L$29</f>
        <v>0</v>
      </c>
      <c r="AB61" s="88"/>
      <c r="AC61" s="23"/>
      <c r="AD61" s="23"/>
      <c r="AE61" s="23"/>
      <c r="AF61" s="23"/>
      <c r="AG61" s="23"/>
      <c r="AH61" s="23"/>
      <c r="AI61" s="23"/>
      <c r="AJ61" s="23"/>
    </row>
    <row r="62" spans="1:36" ht="15.75" customHeight="1" x14ac:dyDescent="0.35">
      <c r="A62" s="23"/>
      <c r="B62" s="23"/>
      <c r="C62" s="44" t="s">
        <v>137</v>
      </c>
      <c r="D62" s="45">
        <v>7.5</v>
      </c>
      <c r="E62" s="45">
        <v>7.5</v>
      </c>
      <c r="F62" s="46" t="s">
        <v>239</v>
      </c>
      <c r="G62" s="47">
        <v>7</v>
      </c>
      <c r="H62" s="181"/>
      <c r="I62" s="44">
        <f>$D$9*E62*'Vehicle Infos'!$L$10</f>
        <v>409.44195999999999</v>
      </c>
      <c r="J62" s="90"/>
      <c r="K62" s="90"/>
      <c r="L62" s="44" t="s">
        <v>139</v>
      </c>
      <c r="M62" s="48">
        <v>1</v>
      </c>
      <c r="N62" s="47">
        <v>1</v>
      </c>
      <c r="O62" s="46" t="s">
        <v>321</v>
      </c>
      <c r="P62" s="47">
        <v>2</v>
      </c>
      <c r="Q62" s="181"/>
      <c r="R62" s="49">
        <f>$F$9*N62*'Vehicle Infos'!$L$21</f>
        <v>15.454432857142855</v>
      </c>
      <c r="S62" s="90"/>
      <c r="U62" s="44" t="s">
        <v>141</v>
      </c>
      <c r="V62" s="48">
        <v>3</v>
      </c>
      <c r="W62" s="51">
        <v>3</v>
      </c>
      <c r="X62" s="46" t="s">
        <v>241</v>
      </c>
      <c r="Y62" s="47">
        <v>6</v>
      </c>
      <c r="Z62" s="196"/>
      <c r="AA62" s="88">
        <f>$G$9*W62*'Vehicle Infos'!$L$29</f>
        <v>19.549549500000001</v>
      </c>
      <c r="AB62" s="90"/>
      <c r="AC62" s="23"/>
      <c r="AD62" s="23"/>
      <c r="AE62" s="23"/>
      <c r="AF62" s="23"/>
      <c r="AG62" s="23"/>
      <c r="AH62" s="23"/>
      <c r="AI62" s="23"/>
      <c r="AJ62" s="23"/>
    </row>
    <row r="63" spans="1:36" ht="15.75" customHeight="1" x14ac:dyDescent="0.35">
      <c r="A63" s="23"/>
      <c r="B63" s="23"/>
      <c r="C63" s="44" t="s">
        <v>143</v>
      </c>
      <c r="D63" s="45">
        <v>8</v>
      </c>
      <c r="E63" s="45">
        <v>0.5</v>
      </c>
      <c r="F63" s="46" t="s">
        <v>242</v>
      </c>
      <c r="G63" s="47">
        <v>6</v>
      </c>
      <c r="H63" s="181"/>
      <c r="I63" s="44">
        <f>$D$9*E63*'Vehicle Infos'!$L$10</f>
        <v>27.296130666666667</v>
      </c>
      <c r="J63" s="90"/>
      <c r="K63" s="90"/>
      <c r="L63" s="44" t="s">
        <v>145</v>
      </c>
      <c r="M63" s="48">
        <v>2.5</v>
      </c>
      <c r="N63" s="51">
        <v>1.5</v>
      </c>
      <c r="O63" s="46" t="s">
        <v>322</v>
      </c>
      <c r="P63" s="47">
        <v>6</v>
      </c>
      <c r="Q63" s="181"/>
      <c r="R63" s="49">
        <f>$F$9*N63*'Vehicle Infos'!$L$21</f>
        <v>23.181649285714283</v>
      </c>
      <c r="S63" s="90"/>
      <c r="U63" s="44" t="s">
        <v>146</v>
      </c>
      <c r="V63" s="48">
        <v>5.5</v>
      </c>
      <c r="W63" s="51">
        <v>2.5</v>
      </c>
      <c r="X63" s="46" t="s">
        <v>244</v>
      </c>
      <c r="Y63" s="47">
        <v>9</v>
      </c>
      <c r="Z63" s="196"/>
      <c r="AA63" s="88">
        <f>$G$9*W63*'Vehicle Infos'!$L$29</f>
        <v>16.29129125</v>
      </c>
      <c r="AB63" s="90"/>
      <c r="AC63" s="23"/>
      <c r="AD63" s="23"/>
      <c r="AE63" s="23"/>
      <c r="AF63" s="23"/>
      <c r="AG63" s="23"/>
      <c r="AH63" s="23"/>
      <c r="AI63" s="23"/>
      <c r="AJ63" s="23"/>
    </row>
    <row r="64" spans="1:36" ht="15.75" customHeight="1" x14ac:dyDescent="0.35">
      <c r="A64" s="23"/>
      <c r="B64" s="23"/>
      <c r="C64" s="44" t="s">
        <v>148</v>
      </c>
      <c r="D64" s="45">
        <v>9</v>
      </c>
      <c r="E64" s="45">
        <v>1</v>
      </c>
      <c r="F64" s="46" t="s">
        <v>323</v>
      </c>
      <c r="G64" s="47">
        <v>7</v>
      </c>
      <c r="H64" s="181"/>
      <c r="I64" s="44">
        <f>$D$9*E64*'Vehicle Infos'!$L$10</f>
        <v>54.592261333333333</v>
      </c>
      <c r="J64" s="90"/>
      <c r="K64" s="90"/>
      <c r="L64" s="44" t="s">
        <v>150</v>
      </c>
      <c r="M64" s="48">
        <v>9</v>
      </c>
      <c r="N64" s="51">
        <v>6.5</v>
      </c>
      <c r="O64" s="46" t="s">
        <v>324</v>
      </c>
      <c r="P64" s="47">
        <v>9</v>
      </c>
      <c r="Q64" s="181"/>
      <c r="R64" s="49">
        <f>$F$9*N64*'Vehicle Infos'!$L$21</f>
        <v>100.45381357142855</v>
      </c>
      <c r="S64" s="90"/>
      <c r="U64" s="44" t="s">
        <v>151</v>
      </c>
      <c r="V64" s="48">
        <v>7.5</v>
      </c>
      <c r="W64" s="51">
        <v>2</v>
      </c>
      <c r="X64" s="46" t="s">
        <v>325</v>
      </c>
      <c r="Y64" s="47">
        <v>14</v>
      </c>
      <c r="Z64" s="196"/>
      <c r="AA64" s="88">
        <f>$G$9*W64*'Vehicle Infos'!$L$29</f>
        <v>13.033033000000001</v>
      </c>
      <c r="AB64" s="90"/>
      <c r="AC64" s="23"/>
      <c r="AD64" s="23"/>
      <c r="AE64" s="23"/>
      <c r="AF64" s="23"/>
      <c r="AG64" s="23"/>
      <c r="AH64" s="23"/>
      <c r="AI64" s="23"/>
      <c r="AJ64" s="23"/>
    </row>
    <row r="65" spans="1:36" ht="15.75" customHeight="1" x14ac:dyDescent="0.35">
      <c r="A65" s="23"/>
      <c r="B65" s="23"/>
      <c r="C65" s="44" t="s">
        <v>153</v>
      </c>
      <c r="D65" s="45">
        <v>10</v>
      </c>
      <c r="E65" s="45">
        <v>1</v>
      </c>
      <c r="F65" s="46" t="s">
        <v>247</v>
      </c>
      <c r="G65" s="47">
        <v>8</v>
      </c>
      <c r="H65" s="181"/>
      <c r="I65" s="44">
        <f>$D$9*E65*'Vehicle Infos'!$L$10</f>
        <v>54.592261333333333</v>
      </c>
      <c r="J65" s="90"/>
      <c r="K65" s="90"/>
      <c r="L65" s="44" t="s">
        <v>155</v>
      </c>
      <c r="M65" s="48">
        <v>12</v>
      </c>
      <c r="N65" s="51">
        <v>3</v>
      </c>
      <c r="O65" s="46" t="s">
        <v>326</v>
      </c>
      <c r="P65" s="47">
        <v>7</v>
      </c>
      <c r="Q65" s="181"/>
      <c r="R65" s="49">
        <f>$F$9*N65*'Vehicle Infos'!$L$21</f>
        <v>46.363298571428565</v>
      </c>
      <c r="S65" s="90"/>
      <c r="U65" s="44" t="s">
        <v>156</v>
      </c>
      <c r="V65" s="48">
        <v>12</v>
      </c>
      <c r="W65" s="51">
        <v>4.5</v>
      </c>
      <c r="X65" s="46" t="s">
        <v>247</v>
      </c>
      <c r="Y65" s="47">
        <v>29</v>
      </c>
      <c r="Z65" s="196"/>
      <c r="AA65" s="88">
        <f>$G$9*W65*'Vehicle Infos'!$L$29</f>
        <v>29.324324250000004</v>
      </c>
      <c r="AB65" s="90"/>
      <c r="AC65" s="23"/>
      <c r="AD65" s="23"/>
      <c r="AE65" s="23"/>
      <c r="AF65" s="23"/>
      <c r="AG65" s="23"/>
      <c r="AH65" s="23"/>
      <c r="AI65" s="23"/>
      <c r="AJ65" s="23"/>
    </row>
    <row r="66" spans="1:36" ht="15.75" customHeight="1" x14ac:dyDescent="0.35">
      <c r="A66" s="23"/>
      <c r="B66" s="23"/>
      <c r="C66" s="44" t="s">
        <v>158</v>
      </c>
      <c r="D66" s="45">
        <v>11</v>
      </c>
      <c r="E66" s="45">
        <v>1</v>
      </c>
      <c r="F66" s="46" t="s">
        <v>327</v>
      </c>
      <c r="G66" s="47">
        <v>13</v>
      </c>
      <c r="H66" s="181"/>
      <c r="I66" s="44">
        <f>$D$9*E66*'Vehicle Infos'!$L$10</f>
        <v>54.592261333333333</v>
      </c>
      <c r="J66" s="90"/>
      <c r="K66" s="90"/>
      <c r="L66" s="44" t="s">
        <v>160</v>
      </c>
      <c r="M66" s="48">
        <v>15.5</v>
      </c>
      <c r="N66" s="51">
        <v>3.5</v>
      </c>
      <c r="O66" s="46" t="s">
        <v>328</v>
      </c>
      <c r="P66" s="47">
        <v>8</v>
      </c>
      <c r="Q66" s="181"/>
      <c r="R66" s="49">
        <f>$F$9*N66*'Vehicle Infos'!$L$21</f>
        <v>54.090514999999989</v>
      </c>
      <c r="S66" s="90"/>
      <c r="U66" s="54" t="s">
        <v>162</v>
      </c>
      <c r="V66" s="48"/>
      <c r="W66" s="51">
        <f>SUM(W61:W65)</f>
        <v>12</v>
      </c>
      <c r="X66" s="46"/>
      <c r="Y66" s="75">
        <f>SUM(Y61:Y65)</f>
        <v>58</v>
      </c>
      <c r="Z66" s="90"/>
      <c r="AA66" s="88">
        <f>$G$9*W66*'Vehicle Infos'!$L$29</f>
        <v>78.198198000000005</v>
      </c>
      <c r="AB66" s="90"/>
      <c r="AC66" s="23"/>
      <c r="AD66" s="23"/>
      <c r="AE66" s="23"/>
      <c r="AF66" s="23"/>
      <c r="AG66" s="23"/>
      <c r="AH66" s="23"/>
      <c r="AI66" s="23"/>
      <c r="AJ66" s="23"/>
    </row>
    <row r="67" spans="1:36" ht="15.75" customHeight="1" x14ac:dyDescent="0.35">
      <c r="A67" s="23"/>
      <c r="B67" s="23"/>
      <c r="C67" s="44" t="s">
        <v>163</v>
      </c>
      <c r="D67" s="45">
        <v>12</v>
      </c>
      <c r="E67" s="45">
        <v>1</v>
      </c>
      <c r="F67" s="46" t="s">
        <v>329</v>
      </c>
      <c r="G67" s="47">
        <v>6</v>
      </c>
      <c r="H67" s="181"/>
      <c r="I67" s="44">
        <f>$D$9*E67*'Vehicle Infos'!$L$10</f>
        <v>54.592261333333333</v>
      </c>
      <c r="J67" s="90"/>
      <c r="K67" s="90"/>
      <c r="L67" s="44" t="s">
        <v>165</v>
      </c>
      <c r="M67" s="48">
        <v>18.5</v>
      </c>
      <c r="N67" s="51">
        <v>3</v>
      </c>
      <c r="O67" s="46" t="s">
        <v>327</v>
      </c>
      <c r="P67" s="47">
        <v>9</v>
      </c>
      <c r="Q67" s="193"/>
      <c r="R67" s="49">
        <f>$F$9*N67*'Vehicle Infos'!$L$21</f>
        <v>46.363298571428565</v>
      </c>
      <c r="S67" s="90"/>
      <c r="U67" s="23"/>
      <c r="V67" s="23"/>
      <c r="W67" s="23"/>
      <c r="X67" s="23"/>
      <c r="Y67" s="23"/>
      <c r="Z67" s="90"/>
      <c r="AA67" s="90"/>
      <c r="AB67" s="90"/>
      <c r="AC67" s="23"/>
      <c r="AD67" s="23"/>
      <c r="AE67" s="23"/>
      <c r="AF67" s="23"/>
      <c r="AG67" s="23"/>
      <c r="AH67" s="23"/>
      <c r="AI67" s="23"/>
      <c r="AJ67" s="23"/>
    </row>
    <row r="68" spans="1:36" ht="15.75" customHeight="1" x14ac:dyDescent="0.35">
      <c r="A68" s="23"/>
      <c r="B68" s="23"/>
      <c r="C68" s="44" t="s">
        <v>167</v>
      </c>
      <c r="D68" s="45">
        <v>14</v>
      </c>
      <c r="E68" s="45">
        <v>2</v>
      </c>
      <c r="F68" s="46" t="s">
        <v>330</v>
      </c>
      <c r="G68" s="47">
        <v>10</v>
      </c>
      <c r="H68" s="181"/>
      <c r="I68" s="44">
        <f>$D$9*E68*'Vehicle Infos'!$L$10</f>
        <v>109.18452266666667</v>
      </c>
      <c r="J68" s="90"/>
      <c r="K68" s="90"/>
      <c r="L68" s="54" t="s">
        <v>162</v>
      </c>
      <c r="M68" s="49"/>
      <c r="N68" s="45">
        <f>SUM(N61:N67)</f>
        <v>18.5</v>
      </c>
      <c r="O68" s="58"/>
      <c r="P68" s="75">
        <f>SUM(P62:P67)</f>
        <v>41</v>
      </c>
      <c r="Q68" s="75">
        <f>SUM(Q61)</f>
        <v>889.04474999999991</v>
      </c>
      <c r="R68" s="49">
        <f>$F$9*N68*'Vehicle Infos'!$L$21</f>
        <v>285.90700785714279</v>
      </c>
      <c r="S68" s="90"/>
      <c r="U68" s="23"/>
      <c r="V68" s="23"/>
      <c r="W68" s="23"/>
      <c r="X68" s="23"/>
      <c r="Y68" s="23"/>
      <c r="Z68" s="90"/>
      <c r="AA68" s="90"/>
      <c r="AB68" s="90"/>
      <c r="AC68" s="23"/>
      <c r="AD68" s="23"/>
      <c r="AE68" s="23"/>
      <c r="AF68" s="23"/>
      <c r="AG68" s="23"/>
      <c r="AH68" s="23"/>
      <c r="AI68" s="23"/>
      <c r="AJ68" s="23"/>
    </row>
    <row r="69" spans="1:36" ht="15.75" customHeight="1" x14ac:dyDescent="0.35">
      <c r="A69" s="23"/>
      <c r="B69" s="23"/>
      <c r="C69" s="44" t="s">
        <v>169</v>
      </c>
      <c r="D69" s="45">
        <v>14.5</v>
      </c>
      <c r="E69" s="45">
        <v>0.5</v>
      </c>
      <c r="F69" s="46" t="s">
        <v>253</v>
      </c>
      <c r="G69" s="47">
        <v>3</v>
      </c>
      <c r="H69" s="181"/>
      <c r="I69" s="44">
        <f>$D$9*E69*'Vehicle Infos'!$L$10</f>
        <v>27.296130666666667</v>
      </c>
      <c r="J69" s="90"/>
      <c r="K69" s="90"/>
      <c r="L69" s="44"/>
      <c r="M69" s="45"/>
      <c r="N69" s="45"/>
      <c r="O69" s="46"/>
      <c r="P69" s="47"/>
      <c r="Q69" s="47"/>
      <c r="R69" s="47"/>
      <c r="S69" s="90"/>
      <c r="U69" s="23"/>
      <c r="V69" s="23"/>
      <c r="W69" s="23"/>
      <c r="X69" s="23"/>
      <c r="Y69" s="23"/>
      <c r="Z69" s="90"/>
      <c r="AA69" s="90"/>
      <c r="AB69" s="90"/>
      <c r="AC69" s="23"/>
      <c r="AD69" s="23"/>
      <c r="AE69" s="23"/>
      <c r="AF69" s="23"/>
      <c r="AG69" s="23"/>
      <c r="AH69" s="23"/>
      <c r="AI69" s="23"/>
      <c r="AJ69" s="23"/>
    </row>
    <row r="70" spans="1:36" ht="15.75" customHeight="1" x14ac:dyDescent="0.35">
      <c r="A70" s="23"/>
      <c r="B70" s="23"/>
      <c r="C70" s="44" t="s">
        <v>171</v>
      </c>
      <c r="D70" s="45">
        <v>15</v>
      </c>
      <c r="E70" s="45">
        <v>0.5</v>
      </c>
      <c r="F70" s="46" t="s">
        <v>254</v>
      </c>
      <c r="G70" s="47">
        <v>3</v>
      </c>
      <c r="H70" s="193"/>
      <c r="I70" s="44">
        <f>$D$9*E70*'Vehicle Infos'!$L$10</f>
        <v>27.296130666666667</v>
      </c>
      <c r="J70" s="90"/>
      <c r="K70" s="90"/>
      <c r="L70" s="44"/>
      <c r="M70" s="45"/>
      <c r="N70" s="45"/>
      <c r="O70" s="46"/>
      <c r="P70" s="47"/>
      <c r="Q70" s="47"/>
      <c r="R70" s="47"/>
      <c r="S70" s="90"/>
      <c r="U70" s="23"/>
      <c r="V70" s="23"/>
      <c r="W70" s="23"/>
      <c r="X70" s="23"/>
      <c r="Y70" s="23"/>
      <c r="Z70" s="90"/>
      <c r="AA70" s="90"/>
      <c r="AB70" s="90"/>
      <c r="AC70" s="23"/>
      <c r="AD70" s="23"/>
      <c r="AE70" s="23"/>
      <c r="AF70" s="23"/>
      <c r="AG70" s="23"/>
      <c r="AH70" s="23"/>
      <c r="AI70" s="23"/>
      <c r="AJ70" s="23"/>
    </row>
    <row r="71" spans="1:36" ht="15.75" customHeight="1" x14ac:dyDescent="0.35">
      <c r="A71" s="23"/>
      <c r="B71" s="23"/>
      <c r="C71" s="54" t="s">
        <v>162</v>
      </c>
      <c r="D71" s="49"/>
      <c r="E71" s="45">
        <v>15</v>
      </c>
      <c r="F71" s="58"/>
      <c r="G71" s="75">
        <f>SUM(G62:G70)</f>
        <v>63</v>
      </c>
      <c r="H71" s="47">
        <f>SUM(H61)</f>
        <v>1685.4</v>
      </c>
      <c r="I71" s="44">
        <f>$D$9*E71*'Vehicle Infos'!$L$10</f>
        <v>818.88391999999999</v>
      </c>
      <c r="J71" s="68"/>
      <c r="K71" s="68"/>
      <c r="L71" s="54"/>
      <c r="M71" s="49"/>
      <c r="N71" s="45"/>
      <c r="O71" s="58"/>
      <c r="P71" s="75"/>
      <c r="Q71" s="75"/>
      <c r="R71" s="75"/>
      <c r="S71" s="68"/>
      <c r="U71" s="23"/>
      <c r="V71" s="23"/>
      <c r="W71" s="23"/>
      <c r="X71" s="23"/>
      <c r="Y71" s="23"/>
      <c r="Z71" s="68"/>
      <c r="AA71" s="68"/>
      <c r="AB71" s="68"/>
      <c r="AC71" s="23"/>
      <c r="AD71" s="23"/>
      <c r="AE71" s="23"/>
      <c r="AF71" s="23"/>
      <c r="AG71" s="23"/>
      <c r="AH71" s="23"/>
      <c r="AI71" s="23"/>
      <c r="AJ71" s="23"/>
    </row>
    <row r="72" spans="1:36" ht="15.7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ht="15.7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ht="24.75" customHeight="1" x14ac:dyDescent="0.35">
      <c r="A74" s="23"/>
      <c r="B74" s="23"/>
      <c r="C74" s="32" t="s">
        <v>331</v>
      </c>
      <c r="D74" s="33"/>
      <c r="E74" s="33"/>
      <c r="F74" s="33"/>
      <c r="G74" s="33"/>
      <c r="H74" s="33"/>
      <c r="I74" s="33"/>
      <c r="J74" s="155"/>
      <c r="K74" s="94"/>
      <c r="L74" s="32" t="s">
        <v>331</v>
      </c>
      <c r="M74" s="33"/>
      <c r="N74" s="33"/>
      <c r="O74" s="33"/>
      <c r="P74" s="33"/>
      <c r="Q74" s="33"/>
      <c r="R74" s="33"/>
      <c r="S74" s="94"/>
      <c r="U74" s="32" t="s">
        <v>331</v>
      </c>
      <c r="V74" s="33"/>
      <c r="W74" s="33"/>
      <c r="X74" s="33"/>
      <c r="Y74" s="33"/>
      <c r="Z74" s="94"/>
      <c r="AA74" s="94"/>
      <c r="AB74" s="94"/>
      <c r="AC74" s="23"/>
      <c r="AD74" s="23"/>
      <c r="AE74" s="23"/>
      <c r="AF74" s="23"/>
      <c r="AG74" s="23"/>
      <c r="AH74" s="23"/>
      <c r="AI74" s="23"/>
      <c r="AJ74" s="23"/>
    </row>
    <row r="75" spans="1:36" ht="76.5" customHeight="1" x14ac:dyDescent="0.4">
      <c r="A75" s="23"/>
      <c r="B75" s="23"/>
      <c r="C75" s="37" t="s">
        <v>176</v>
      </c>
      <c r="D75" s="38" t="s">
        <v>122</v>
      </c>
      <c r="E75" s="38" t="s">
        <v>129</v>
      </c>
      <c r="F75" s="38" t="s">
        <v>130</v>
      </c>
      <c r="G75" s="38" t="s">
        <v>131</v>
      </c>
      <c r="H75" s="39" t="s">
        <v>126</v>
      </c>
      <c r="I75" s="40" t="s">
        <v>127</v>
      </c>
      <c r="J75" s="85"/>
      <c r="K75" s="85"/>
      <c r="L75" s="72" t="s">
        <v>177</v>
      </c>
      <c r="M75" s="38" t="s">
        <v>122</v>
      </c>
      <c r="N75" s="38" t="s">
        <v>129</v>
      </c>
      <c r="O75" s="38" t="s">
        <v>130</v>
      </c>
      <c r="P75" s="38" t="s">
        <v>131</v>
      </c>
      <c r="Q75" s="39" t="s">
        <v>126</v>
      </c>
      <c r="R75" s="40" t="s">
        <v>127</v>
      </c>
      <c r="S75" s="85"/>
      <c r="U75" s="72" t="s">
        <v>178</v>
      </c>
      <c r="V75" s="38" t="s">
        <v>122</v>
      </c>
      <c r="W75" s="38" t="s">
        <v>129</v>
      </c>
      <c r="X75" s="38" t="s">
        <v>130</v>
      </c>
      <c r="Y75" s="38" t="s">
        <v>131</v>
      </c>
      <c r="Z75" s="39" t="s">
        <v>126</v>
      </c>
      <c r="AA75" s="40" t="s">
        <v>127</v>
      </c>
      <c r="AB75" s="85"/>
      <c r="AC75" s="23"/>
      <c r="AD75" s="23"/>
      <c r="AE75" s="23"/>
      <c r="AF75" s="23"/>
      <c r="AG75" s="23"/>
      <c r="AH75" s="23"/>
      <c r="AI75" s="23"/>
      <c r="AJ75" s="23"/>
    </row>
    <row r="76" spans="1:36" ht="15.75" customHeight="1" x14ac:dyDescent="0.35">
      <c r="A76" s="23"/>
      <c r="B76" s="23"/>
      <c r="C76" s="44" t="s">
        <v>133</v>
      </c>
      <c r="D76" s="45">
        <v>0</v>
      </c>
      <c r="E76" s="45">
        <v>0</v>
      </c>
      <c r="F76" s="46" t="s">
        <v>258</v>
      </c>
      <c r="G76" s="47"/>
      <c r="H76" s="194">
        <f>D10*D3*'Vehicle Infos'!K10</f>
        <v>1470.75</v>
      </c>
      <c r="I76" s="44">
        <f>$D$10*E76*'Vehicle Infos'!$L$10</f>
        <v>0</v>
      </c>
      <c r="J76" s="88"/>
      <c r="K76" s="88"/>
      <c r="L76" s="44" t="s">
        <v>135</v>
      </c>
      <c r="M76" s="48">
        <v>0</v>
      </c>
      <c r="N76" s="47">
        <v>0</v>
      </c>
      <c r="O76" s="46" t="s">
        <v>259</v>
      </c>
      <c r="P76" s="47"/>
      <c r="Q76" s="180">
        <f>F10*F3*'Vehicle Infos'!K21</f>
        <v>355.61789999999996</v>
      </c>
      <c r="R76" s="57">
        <f>$F$10*N76*'Vehicle Infos'!$L$21</f>
        <v>0</v>
      </c>
      <c r="S76" s="88"/>
      <c r="U76" s="44" t="s">
        <v>136</v>
      </c>
      <c r="V76" s="48">
        <v>0</v>
      </c>
      <c r="W76" s="47">
        <v>0</v>
      </c>
      <c r="X76" s="46" t="s">
        <v>259</v>
      </c>
      <c r="Y76" s="47">
        <v>0</v>
      </c>
      <c r="Z76" s="195">
        <f>G10*G3*'Vehicle Infos'!K29</f>
        <v>253.43999999999997</v>
      </c>
      <c r="AA76" s="88">
        <f>$G$10*W76*'Vehicle Infos'!$L$29</f>
        <v>0</v>
      </c>
      <c r="AB76" s="88"/>
      <c r="AC76" s="23"/>
      <c r="AD76" s="23"/>
      <c r="AE76" s="23"/>
      <c r="AF76" s="23"/>
      <c r="AG76" s="23"/>
      <c r="AH76" s="23"/>
      <c r="AI76" s="23"/>
      <c r="AJ76" s="23"/>
    </row>
    <row r="77" spans="1:36" ht="15.75" customHeight="1" x14ac:dyDescent="0.35">
      <c r="A77" s="23"/>
      <c r="B77" s="23"/>
      <c r="C77" s="44" t="s">
        <v>137</v>
      </c>
      <c r="D77" s="45">
        <v>7.5</v>
      </c>
      <c r="E77" s="45">
        <v>7.5</v>
      </c>
      <c r="F77" s="46" t="s">
        <v>260</v>
      </c>
      <c r="G77" s="47">
        <v>7</v>
      </c>
      <c r="H77" s="181"/>
      <c r="I77" s="44">
        <f>$D$10*E77*'Vehicle Infos'!$L$10</f>
        <v>357.29604999999998</v>
      </c>
      <c r="J77" s="90"/>
      <c r="K77" s="90"/>
      <c r="L77" s="44" t="s">
        <v>139</v>
      </c>
      <c r="M77" s="48">
        <v>1</v>
      </c>
      <c r="N77" s="47">
        <v>1</v>
      </c>
      <c r="O77" s="46" t="s">
        <v>261</v>
      </c>
      <c r="P77" s="47">
        <v>2</v>
      </c>
      <c r="Q77" s="181"/>
      <c r="R77" s="57">
        <f>$F$10*N77*'Vehicle Infos'!$L$21</f>
        <v>6.1817731428571419</v>
      </c>
      <c r="S77" s="90"/>
      <c r="U77" s="44" t="s">
        <v>141</v>
      </c>
      <c r="V77" s="48">
        <v>3</v>
      </c>
      <c r="W77" s="51">
        <v>3</v>
      </c>
      <c r="X77" s="46" t="s">
        <v>262</v>
      </c>
      <c r="Y77" s="47">
        <v>5</v>
      </c>
      <c r="Z77" s="196"/>
      <c r="AA77" s="88">
        <f>$G$10*W77*'Vehicle Infos'!$L$29</f>
        <v>16.040656000000002</v>
      </c>
      <c r="AB77" s="90"/>
      <c r="AC77" s="23"/>
      <c r="AD77" s="23"/>
      <c r="AE77" s="23"/>
      <c r="AF77" s="23"/>
      <c r="AG77" s="23"/>
      <c r="AH77" s="23"/>
      <c r="AI77" s="23"/>
      <c r="AJ77" s="23"/>
    </row>
    <row r="78" spans="1:36" ht="15.75" customHeight="1" x14ac:dyDescent="0.35">
      <c r="A78" s="23"/>
      <c r="B78" s="23"/>
      <c r="C78" s="44" t="s">
        <v>143</v>
      </c>
      <c r="D78" s="45">
        <v>8</v>
      </c>
      <c r="E78" s="45">
        <v>0.5</v>
      </c>
      <c r="F78" s="46" t="s">
        <v>332</v>
      </c>
      <c r="G78" s="47">
        <v>5</v>
      </c>
      <c r="H78" s="181"/>
      <c r="I78" s="44">
        <f>$D$10*E78*'Vehicle Infos'!$L$10</f>
        <v>23.819736666666667</v>
      </c>
      <c r="J78" s="90"/>
      <c r="K78" s="90"/>
      <c r="L78" s="44" t="s">
        <v>145</v>
      </c>
      <c r="M78" s="48">
        <v>2.5</v>
      </c>
      <c r="N78" s="51">
        <v>1.5</v>
      </c>
      <c r="O78" s="46" t="s">
        <v>333</v>
      </c>
      <c r="P78" s="47">
        <v>4</v>
      </c>
      <c r="Q78" s="181"/>
      <c r="R78" s="57">
        <f>$F$10*N78*'Vehicle Infos'!$L$21</f>
        <v>9.2726597142857123</v>
      </c>
      <c r="S78" s="90"/>
      <c r="U78" s="44" t="s">
        <v>146</v>
      </c>
      <c r="V78" s="48">
        <v>5.5</v>
      </c>
      <c r="W78" s="51">
        <v>2.5</v>
      </c>
      <c r="X78" s="46" t="s">
        <v>265</v>
      </c>
      <c r="Y78" s="47">
        <v>7</v>
      </c>
      <c r="Z78" s="196"/>
      <c r="AA78" s="88">
        <f>$G$10*W78*'Vehicle Infos'!$L$29</f>
        <v>13.367213333333334</v>
      </c>
      <c r="AB78" s="90"/>
      <c r="AC78" s="23"/>
      <c r="AD78" s="23"/>
      <c r="AE78" s="23"/>
      <c r="AF78" s="23"/>
      <c r="AG78" s="23"/>
      <c r="AH78" s="23"/>
      <c r="AI78" s="23"/>
      <c r="AJ78" s="23"/>
    </row>
    <row r="79" spans="1:36" ht="15.75" customHeight="1" x14ac:dyDescent="0.35">
      <c r="A79" s="23"/>
      <c r="B79" s="23"/>
      <c r="C79" s="44" t="s">
        <v>148</v>
      </c>
      <c r="D79" s="45">
        <v>9</v>
      </c>
      <c r="E79" s="45">
        <v>1</v>
      </c>
      <c r="F79" s="46" t="s">
        <v>334</v>
      </c>
      <c r="G79" s="47">
        <v>6</v>
      </c>
      <c r="H79" s="181"/>
      <c r="I79" s="44">
        <f>$D$10*E79*'Vehicle Infos'!$L$10</f>
        <v>47.639473333333335</v>
      </c>
      <c r="J79" s="90"/>
      <c r="K79" s="90"/>
      <c r="L79" s="44" t="s">
        <v>150</v>
      </c>
      <c r="M79" s="48">
        <v>9</v>
      </c>
      <c r="N79" s="51">
        <v>6.5</v>
      </c>
      <c r="O79" s="46" t="s">
        <v>267</v>
      </c>
      <c r="P79" s="47">
        <v>10</v>
      </c>
      <c r="Q79" s="181"/>
      <c r="R79" s="57">
        <f>$F$10*N79*'Vehicle Infos'!$L$21</f>
        <v>40.181525428571419</v>
      </c>
      <c r="S79" s="90"/>
      <c r="U79" s="44" t="s">
        <v>151</v>
      </c>
      <c r="V79" s="48">
        <v>7.5</v>
      </c>
      <c r="W79" s="51">
        <v>2</v>
      </c>
      <c r="X79" s="46" t="s">
        <v>335</v>
      </c>
      <c r="Y79" s="47">
        <v>8</v>
      </c>
      <c r="Z79" s="196"/>
      <c r="AA79" s="88">
        <f>$G$10*W79*'Vehicle Infos'!$L$29</f>
        <v>10.693770666666667</v>
      </c>
      <c r="AB79" s="90"/>
      <c r="AC79" s="23"/>
      <c r="AD79" s="23"/>
      <c r="AE79" s="23"/>
      <c r="AF79" s="23"/>
      <c r="AG79" s="23"/>
      <c r="AH79" s="23"/>
      <c r="AI79" s="23"/>
      <c r="AJ79" s="23"/>
    </row>
    <row r="80" spans="1:36" ht="15.75" customHeight="1" x14ac:dyDescent="0.35">
      <c r="A80" s="23"/>
      <c r="B80" s="23"/>
      <c r="C80" s="44" t="s">
        <v>153</v>
      </c>
      <c r="D80" s="45">
        <v>10</v>
      </c>
      <c r="E80" s="45">
        <v>1</v>
      </c>
      <c r="F80" s="46" t="s">
        <v>336</v>
      </c>
      <c r="G80" s="47">
        <v>5</v>
      </c>
      <c r="H80" s="181"/>
      <c r="I80" s="44">
        <f>$D$10*E80*'Vehicle Infos'!$L$10</f>
        <v>47.639473333333335</v>
      </c>
      <c r="J80" s="90"/>
      <c r="K80" s="90"/>
      <c r="L80" s="44" t="s">
        <v>155</v>
      </c>
      <c r="M80" s="48">
        <v>12</v>
      </c>
      <c r="N80" s="51">
        <v>3</v>
      </c>
      <c r="O80" s="46" t="s">
        <v>268</v>
      </c>
      <c r="P80" s="47">
        <v>5</v>
      </c>
      <c r="Q80" s="181"/>
      <c r="R80" s="57">
        <f>$F$10*N80*'Vehicle Infos'!$L$21</f>
        <v>18.545319428571425</v>
      </c>
      <c r="S80" s="90"/>
      <c r="U80" s="44" t="s">
        <v>156</v>
      </c>
      <c r="V80" s="48">
        <v>12</v>
      </c>
      <c r="W80" s="51">
        <v>4.5</v>
      </c>
      <c r="X80" s="46" t="s">
        <v>337</v>
      </c>
      <c r="Y80" s="47">
        <v>22</v>
      </c>
      <c r="Z80" s="196"/>
      <c r="AA80" s="88">
        <f>$G$10*W80*'Vehicle Infos'!$L$29</f>
        <v>24.060984000000001</v>
      </c>
      <c r="AB80" s="90"/>
      <c r="AC80" s="23"/>
      <c r="AD80" s="23"/>
      <c r="AE80" s="23"/>
      <c r="AF80" s="23"/>
      <c r="AG80" s="23"/>
      <c r="AH80" s="23"/>
      <c r="AI80" s="23"/>
      <c r="AJ80" s="23"/>
    </row>
    <row r="81" spans="1:36" ht="15.75" customHeight="1" x14ac:dyDescent="0.35">
      <c r="A81" s="23"/>
      <c r="B81" s="23"/>
      <c r="C81" s="44" t="s">
        <v>158</v>
      </c>
      <c r="D81" s="45">
        <v>11</v>
      </c>
      <c r="E81" s="45">
        <v>1</v>
      </c>
      <c r="F81" s="46" t="s">
        <v>338</v>
      </c>
      <c r="G81" s="47">
        <v>12</v>
      </c>
      <c r="H81" s="181"/>
      <c r="I81" s="44">
        <f>$D$10*E81*'Vehicle Infos'!$L$10</f>
        <v>47.639473333333335</v>
      </c>
      <c r="J81" s="90"/>
      <c r="K81" s="90"/>
      <c r="L81" s="44" t="s">
        <v>160</v>
      </c>
      <c r="M81" s="48">
        <v>15.5</v>
      </c>
      <c r="N81" s="51">
        <v>3.5</v>
      </c>
      <c r="O81" s="46" t="s">
        <v>339</v>
      </c>
      <c r="P81" s="47">
        <v>7</v>
      </c>
      <c r="Q81" s="181"/>
      <c r="R81" s="57">
        <f>$F$10*N81*'Vehicle Infos'!$L$21</f>
        <v>21.636205999999998</v>
      </c>
      <c r="S81" s="90"/>
      <c r="U81" s="54" t="s">
        <v>162</v>
      </c>
      <c r="V81" s="48"/>
      <c r="W81" s="51">
        <f>SUM(W76:W80)</f>
        <v>12</v>
      </c>
      <c r="X81" s="46"/>
      <c r="Y81" s="75">
        <f>SUM(Y76:Y80)</f>
        <v>42</v>
      </c>
      <c r="Z81" s="90"/>
      <c r="AA81" s="88">
        <f>$G$10*W81*'Vehicle Infos'!$L$29</f>
        <v>64.162624000000008</v>
      </c>
      <c r="AB81" s="90"/>
      <c r="AC81" s="23"/>
      <c r="AD81" s="23"/>
      <c r="AE81" s="23"/>
      <c r="AF81" s="23"/>
      <c r="AG81" s="23"/>
      <c r="AH81" s="23"/>
      <c r="AI81" s="23"/>
      <c r="AJ81" s="23"/>
    </row>
    <row r="82" spans="1:36" ht="15.75" customHeight="1" x14ac:dyDescent="0.35">
      <c r="A82" s="23"/>
      <c r="B82" s="23"/>
      <c r="C82" s="44" t="s">
        <v>163</v>
      </c>
      <c r="D82" s="45">
        <v>12</v>
      </c>
      <c r="E82" s="45">
        <v>1</v>
      </c>
      <c r="F82" s="46" t="s">
        <v>340</v>
      </c>
      <c r="G82" s="47">
        <v>5</v>
      </c>
      <c r="H82" s="181"/>
      <c r="I82" s="44">
        <f>$D$10*E82*'Vehicle Infos'!$L$10</f>
        <v>47.639473333333335</v>
      </c>
      <c r="J82" s="90"/>
      <c r="K82" s="90"/>
      <c r="L82" s="44" t="s">
        <v>165</v>
      </c>
      <c r="M82" s="48">
        <v>18.5</v>
      </c>
      <c r="N82" s="51">
        <v>3</v>
      </c>
      <c r="O82" s="46" t="s">
        <v>258</v>
      </c>
      <c r="P82" s="47">
        <v>6</v>
      </c>
      <c r="Q82" s="193"/>
      <c r="R82" s="57">
        <f>$F$10*N82*'Vehicle Infos'!$L$21</f>
        <v>18.545319428571425</v>
      </c>
      <c r="S82" s="90"/>
      <c r="U82" s="44"/>
      <c r="V82" s="48"/>
      <c r="W82" s="51"/>
      <c r="X82" s="46"/>
      <c r="Y82" s="47"/>
      <c r="Z82" s="90"/>
      <c r="AA82" s="90"/>
      <c r="AB82" s="90"/>
      <c r="AC82" s="23"/>
      <c r="AD82" s="23"/>
      <c r="AE82" s="23"/>
      <c r="AF82" s="23"/>
      <c r="AG82" s="23"/>
      <c r="AH82" s="23"/>
      <c r="AI82" s="23"/>
      <c r="AJ82" s="23"/>
    </row>
    <row r="83" spans="1:36" ht="15.75" customHeight="1" x14ac:dyDescent="0.35">
      <c r="A83" s="23"/>
      <c r="B83" s="23"/>
      <c r="C83" s="44" t="s">
        <v>167</v>
      </c>
      <c r="D83" s="45">
        <v>14</v>
      </c>
      <c r="E83" s="45">
        <v>2</v>
      </c>
      <c r="F83" s="46" t="s">
        <v>341</v>
      </c>
      <c r="G83" s="47">
        <v>8</v>
      </c>
      <c r="H83" s="181"/>
      <c r="I83" s="44">
        <f>$D$10*E83*'Vehicle Infos'!$L$10</f>
        <v>95.27894666666667</v>
      </c>
      <c r="J83" s="90"/>
      <c r="K83" s="90"/>
      <c r="L83" s="54" t="s">
        <v>162</v>
      </c>
      <c r="M83" s="49"/>
      <c r="N83" s="45">
        <f>SUM(N76:N82)</f>
        <v>18.5</v>
      </c>
      <c r="O83" s="58"/>
      <c r="P83" s="75">
        <f>SUM(P77:P82)</f>
        <v>34</v>
      </c>
      <c r="Q83" s="75">
        <f>SUM(Q76)</f>
        <v>355.61789999999996</v>
      </c>
      <c r="R83" s="57">
        <f>$F$10*N83*'Vehicle Infos'!$L$21</f>
        <v>114.36280314285712</v>
      </c>
      <c r="S83" s="90"/>
      <c r="U83" s="54"/>
      <c r="V83" s="49"/>
      <c r="W83" s="45"/>
      <c r="X83" s="58"/>
      <c r="Y83" s="75"/>
      <c r="Z83" s="90"/>
      <c r="AA83" s="90"/>
      <c r="AB83" s="90"/>
      <c r="AC83" s="23"/>
      <c r="AD83" s="23"/>
      <c r="AE83" s="23"/>
      <c r="AF83" s="23"/>
      <c r="AG83" s="23"/>
      <c r="AH83" s="23"/>
      <c r="AI83" s="23"/>
      <c r="AJ83" s="23"/>
    </row>
    <row r="84" spans="1:36" ht="15.75" customHeight="1" x14ac:dyDescent="0.35">
      <c r="A84" s="23"/>
      <c r="B84" s="23"/>
      <c r="C84" s="44" t="s">
        <v>169</v>
      </c>
      <c r="D84" s="45">
        <v>14.5</v>
      </c>
      <c r="E84" s="45">
        <v>0.5</v>
      </c>
      <c r="F84" s="46" t="s">
        <v>342</v>
      </c>
      <c r="G84" s="47">
        <v>2</v>
      </c>
      <c r="H84" s="181"/>
      <c r="I84" s="44">
        <f>$D$10*E84*'Vehicle Infos'!$L$10</f>
        <v>23.819736666666667</v>
      </c>
      <c r="J84" s="90"/>
      <c r="K84" s="90"/>
      <c r="L84" s="44"/>
      <c r="M84" s="45"/>
      <c r="N84" s="45"/>
      <c r="O84" s="46"/>
      <c r="P84" s="47"/>
      <c r="Q84" s="47"/>
      <c r="R84" s="47"/>
      <c r="S84" s="90"/>
      <c r="U84" s="90"/>
      <c r="V84" s="90"/>
      <c r="W84" s="90"/>
      <c r="X84" s="90"/>
      <c r="Y84" s="90"/>
      <c r="Z84" s="90"/>
      <c r="AA84" s="90"/>
      <c r="AB84" s="90"/>
      <c r="AC84" s="23"/>
      <c r="AD84" s="23"/>
      <c r="AE84" s="23"/>
      <c r="AF84" s="23"/>
      <c r="AG84" s="23"/>
      <c r="AH84" s="23"/>
      <c r="AI84" s="23"/>
      <c r="AJ84" s="23"/>
    </row>
    <row r="85" spans="1:36" ht="15.75" customHeight="1" x14ac:dyDescent="0.35">
      <c r="A85" s="23"/>
      <c r="B85" s="23"/>
      <c r="C85" s="44" t="s">
        <v>171</v>
      </c>
      <c r="D85" s="45">
        <v>15</v>
      </c>
      <c r="E85" s="45">
        <v>0.5</v>
      </c>
      <c r="F85" s="46" t="s">
        <v>343</v>
      </c>
      <c r="G85" s="47">
        <v>1</v>
      </c>
      <c r="H85" s="193"/>
      <c r="I85" s="44">
        <f>$D$10*E85*'Vehicle Infos'!$L$10</f>
        <v>23.819736666666667</v>
      </c>
      <c r="J85" s="90"/>
      <c r="K85" s="90"/>
      <c r="L85" s="23"/>
      <c r="M85" s="23"/>
      <c r="N85" s="23"/>
      <c r="O85" s="23"/>
      <c r="P85" s="23"/>
      <c r="Q85" s="23"/>
      <c r="R85" s="23"/>
      <c r="S85" s="90"/>
      <c r="U85" s="90"/>
      <c r="V85" s="90"/>
      <c r="W85" s="90"/>
      <c r="X85" s="90"/>
      <c r="Y85" s="90"/>
      <c r="Z85" s="90"/>
      <c r="AA85" s="90"/>
      <c r="AB85" s="90"/>
      <c r="AC85" s="23"/>
      <c r="AD85" s="23"/>
      <c r="AE85" s="23"/>
      <c r="AF85" s="23"/>
      <c r="AG85" s="23"/>
      <c r="AH85" s="23"/>
      <c r="AI85" s="23"/>
      <c r="AJ85" s="23"/>
    </row>
    <row r="86" spans="1:36" ht="15.75" customHeight="1" x14ac:dyDescent="0.35">
      <c r="A86" s="23"/>
      <c r="B86" s="23"/>
      <c r="C86" s="54" t="s">
        <v>162</v>
      </c>
      <c r="D86" s="49"/>
      <c r="E86" s="45">
        <v>15</v>
      </c>
      <c r="F86" s="58"/>
      <c r="G86" s="75">
        <f>SUM(G77:G85)</f>
        <v>51</v>
      </c>
      <c r="H86" s="47">
        <f>SUM(H76)</f>
        <v>1470.75</v>
      </c>
      <c r="I86" s="44">
        <f>$D$10*E86*'Vehicle Infos'!$L$10</f>
        <v>714.59209999999996</v>
      </c>
      <c r="J86" s="68"/>
      <c r="K86" s="68"/>
      <c r="L86" s="23"/>
      <c r="M86" s="23"/>
      <c r="N86" s="23"/>
      <c r="O86" s="23"/>
      <c r="P86" s="23"/>
      <c r="Q86" s="23"/>
      <c r="R86" s="23"/>
      <c r="S86" s="68"/>
      <c r="U86" s="90"/>
      <c r="V86" s="90"/>
      <c r="W86" s="90"/>
      <c r="X86" s="90"/>
      <c r="Y86" s="90"/>
      <c r="Z86" s="68"/>
      <c r="AA86" s="68"/>
      <c r="AB86" s="68"/>
      <c r="AC86" s="23"/>
      <c r="AD86" s="23"/>
      <c r="AE86" s="23"/>
      <c r="AF86" s="23"/>
      <c r="AG86" s="23"/>
      <c r="AH86" s="23"/>
      <c r="AI86" s="23"/>
      <c r="AJ86" s="23"/>
    </row>
    <row r="87" spans="1:36" ht="15.75" customHeight="1" x14ac:dyDescent="0.35">
      <c r="A87" s="23"/>
      <c r="B87" s="23"/>
      <c r="C87" s="23"/>
      <c r="D87" s="23"/>
      <c r="E87" s="23"/>
      <c r="F87" s="23"/>
      <c r="G87" s="23"/>
      <c r="H87" s="95"/>
      <c r="I87" s="95"/>
      <c r="J87" s="23"/>
      <c r="K87" s="23"/>
      <c r="L87" s="23"/>
      <c r="M87" s="23"/>
      <c r="N87" s="23"/>
      <c r="O87" s="23"/>
      <c r="P87" s="23"/>
      <c r="Q87" s="23"/>
      <c r="R87" s="23"/>
      <c r="S87" s="23"/>
      <c r="U87" s="90"/>
      <c r="V87" s="90"/>
      <c r="W87" s="90"/>
      <c r="X87" s="90"/>
      <c r="Y87" s="90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spans="1:36" ht="15.75" customHeight="1" x14ac:dyDescent="0.35">
      <c r="A88" s="23"/>
      <c r="B88" s="23"/>
      <c r="C88" s="23"/>
      <c r="D88" s="23"/>
      <c r="E88" s="23"/>
      <c r="F88" s="23"/>
      <c r="G88" s="23"/>
      <c r="H88" s="95"/>
      <c r="I88" s="95"/>
      <c r="J88" s="23"/>
      <c r="K88" s="23"/>
      <c r="L88" s="23"/>
      <c r="M88" s="23"/>
      <c r="N88" s="23"/>
      <c r="O88" s="23"/>
      <c r="P88" s="23"/>
      <c r="Q88" s="23"/>
      <c r="R88" s="23"/>
      <c r="S88" s="23"/>
      <c r="U88" s="90"/>
      <c r="V88" s="90"/>
      <c r="W88" s="90"/>
      <c r="X88" s="90"/>
      <c r="Y88" s="90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spans="1:36" ht="15.75" customHeight="1" x14ac:dyDescent="0.35">
      <c r="A89" s="23"/>
      <c r="B89" s="23"/>
      <c r="C89" s="23"/>
      <c r="D89" s="23"/>
      <c r="E89" s="23"/>
      <c r="F89" s="23"/>
      <c r="G89" s="23"/>
      <c r="H89" s="95"/>
      <c r="I89" s="95"/>
      <c r="J89" s="23"/>
      <c r="K89" s="23"/>
      <c r="L89" s="23"/>
      <c r="M89" s="23"/>
      <c r="N89" s="23"/>
      <c r="O89" s="23"/>
      <c r="P89" s="23"/>
      <c r="Q89" s="23"/>
      <c r="R89" s="23"/>
      <c r="S89" s="23"/>
      <c r="U89" s="90"/>
      <c r="V89" s="90"/>
      <c r="W89" s="90"/>
      <c r="X89" s="90"/>
      <c r="Y89" s="90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ht="15.75" customHeight="1" x14ac:dyDescent="0.3">
      <c r="A90" s="23"/>
      <c r="B90" s="23"/>
      <c r="C90" s="23"/>
      <c r="D90" s="23"/>
      <c r="E90" s="23"/>
      <c r="F90" s="23"/>
      <c r="G90" s="23"/>
      <c r="H90" s="95"/>
      <c r="I90" s="95"/>
      <c r="J90" s="23"/>
      <c r="K90" s="23"/>
      <c r="L90" s="23"/>
      <c r="M90" s="23"/>
      <c r="N90" s="23"/>
      <c r="O90" s="23"/>
      <c r="P90" s="23"/>
      <c r="Q90" s="23"/>
      <c r="R90" s="23"/>
      <c r="S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spans="1:36" ht="15.75" customHeight="1" x14ac:dyDescent="0.3">
      <c r="A91" s="23"/>
      <c r="B91" s="23"/>
      <c r="C91" s="23"/>
      <c r="D91" s="23"/>
      <c r="E91" s="23"/>
      <c r="F91" s="23"/>
      <c r="G91" s="23"/>
      <c r="H91" s="95"/>
      <c r="I91" s="95"/>
      <c r="J91" s="23"/>
      <c r="K91" s="23"/>
      <c r="L91" s="23"/>
      <c r="M91" s="23"/>
      <c r="N91" s="23"/>
      <c r="O91" s="23"/>
      <c r="P91" s="23"/>
      <c r="Q91" s="23"/>
      <c r="R91" s="23"/>
      <c r="S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ht="15.75" customHeight="1" x14ac:dyDescent="0.3">
      <c r="A92" s="23"/>
      <c r="B92" s="23"/>
      <c r="C92" s="23"/>
      <c r="D92" s="23"/>
      <c r="E92" s="23"/>
      <c r="F92" s="23"/>
      <c r="G92" s="23"/>
      <c r="H92" s="95"/>
      <c r="I92" s="95"/>
      <c r="J92" s="23"/>
      <c r="K92" s="23"/>
      <c r="L92" s="23"/>
      <c r="M92" s="23"/>
      <c r="N92" s="23"/>
      <c r="O92" s="23"/>
      <c r="P92" s="23"/>
      <c r="Q92" s="23"/>
      <c r="R92" s="23"/>
      <c r="S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ht="15.75" customHeight="1" x14ac:dyDescent="0.3">
      <c r="A93" s="23"/>
      <c r="B93" s="23"/>
      <c r="C93" s="23"/>
      <c r="D93" s="23"/>
      <c r="E93" s="23"/>
      <c r="F93" s="23"/>
      <c r="G93" s="23"/>
      <c r="H93" s="95"/>
      <c r="I93" s="95"/>
      <c r="J93" s="23"/>
      <c r="K93" s="23"/>
      <c r="L93" s="23"/>
      <c r="M93" s="23"/>
      <c r="N93" s="23"/>
      <c r="O93" s="23"/>
      <c r="P93" s="23"/>
      <c r="Q93" s="23"/>
      <c r="R93" s="23"/>
      <c r="S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ht="15.75" customHeight="1" x14ac:dyDescent="0.3">
      <c r="A94" s="23"/>
      <c r="B94" s="23"/>
      <c r="C94" s="23"/>
      <c r="D94" s="23"/>
      <c r="E94" s="23"/>
      <c r="F94" s="23"/>
      <c r="G94" s="23"/>
      <c r="H94" s="95"/>
      <c r="I94" s="95"/>
      <c r="J94" s="23"/>
      <c r="K94" s="23"/>
      <c r="L94" s="23"/>
      <c r="M94" s="23"/>
      <c r="N94" s="23"/>
      <c r="O94" s="23"/>
      <c r="P94" s="23"/>
      <c r="Q94" s="23"/>
      <c r="R94" s="23"/>
      <c r="S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ht="15.75" customHeight="1" x14ac:dyDescent="0.3">
      <c r="A95" s="23"/>
      <c r="B95" s="23"/>
      <c r="C95" s="23"/>
      <c r="D95" s="23"/>
      <c r="E95" s="23"/>
      <c r="F95" s="23"/>
      <c r="G95" s="23"/>
      <c r="H95" s="95"/>
      <c r="I95" s="95"/>
      <c r="J95" s="23"/>
      <c r="K95" s="23"/>
      <c r="L95" s="23"/>
      <c r="M95" s="23"/>
      <c r="N95" s="23"/>
      <c r="O95" s="23"/>
      <c r="P95" s="23"/>
      <c r="Q95" s="23"/>
      <c r="R95" s="23"/>
      <c r="S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ht="15.75" customHeight="1" x14ac:dyDescent="0.3">
      <c r="A96" s="23"/>
      <c r="B96" s="23"/>
      <c r="C96" s="23"/>
      <c r="D96" s="23"/>
      <c r="E96" s="23"/>
      <c r="F96" s="23"/>
      <c r="G96" s="23"/>
      <c r="H96" s="95"/>
      <c r="I96" s="95"/>
      <c r="J96" s="23"/>
      <c r="K96" s="23"/>
      <c r="L96" s="23"/>
      <c r="M96" s="23"/>
      <c r="N96" s="23"/>
      <c r="O96" s="23"/>
      <c r="P96" s="23"/>
      <c r="Q96" s="23"/>
      <c r="R96" s="23"/>
      <c r="S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1:36" ht="15.75" customHeight="1" x14ac:dyDescent="0.3">
      <c r="A97" s="23"/>
      <c r="B97" s="23"/>
      <c r="C97" s="23"/>
      <c r="D97" s="23"/>
      <c r="E97" s="23"/>
      <c r="F97" s="23"/>
      <c r="G97" s="23"/>
      <c r="H97" s="95"/>
      <c r="I97" s="95"/>
      <c r="J97" s="23"/>
      <c r="K97" s="23"/>
      <c r="L97" s="23"/>
      <c r="M97" s="23"/>
      <c r="N97" s="23"/>
      <c r="O97" s="23"/>
      <c r="P97" s="23"/>
      <c r="Q97" s="23"/>
      <c r="R97" s="23"/>
      <c r="S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spans="1:36" ht="15.75" customHeight="1" x14ac:dyDescent="0.3">
      <c r="A98" s="23"/>
      <c r="B98" s="23"/>
      <c r="C98" s="23"/>
      <c r="D98" s="23"/>
      <c r="E98" s="23"/>
      <c r="F98" s="23"/>
      <c r="G98" s="23"/>
      <c r="H98" s="95"/>
      <c r="I98" s="95"/>
      <c r="J98" s="23"/>
      <c r="K98" s="23"/>
      <c r="L98" s="23"/>
      <c r="M98" s="23"/>
      <c r="N98" s="23"/>
      <c r="O98" s="23"/>
      <c r="P98" s="23"/>
      <c r="Q98" s="23"/>
      <c r="R98" s="23"/>
      <c r="S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spans="1:36" ht="15.75" customHeight="1" x14ac:dyDescent="0.3">
      <c r="A99" s="23"/>
      <c r="B99" s="23"/>
      <c r="C99" s="23"/>
      <c r="D99" s="23"/>
      <c r="E99" s="23"/>
      <c r="F99" s="23"/>
      <c r="G99" s="23"/>
      <c r="H99" s="95"/>
      <c r="I99" s="95"/>
      <c r="J99" s="23"/>
      <c r="K99" s="23"/>
      <c r="L99" s="23"/>
      <c r="M99" s="23"/>
      <c r="N99" s="23"/>
      <c r="O99" s="23"/>
      <c r="P99" s="23"/>
      <c r="Q99" s="23"/>
      <c r="R99" s="23"/>
      <c r="S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spans="1:36" ht="15.75" customHeight="1" x14ac:dyDescent="0.3">
      <c r="A100" s="23"/>
      <c r="B100" s="23"/>
      <c r="C100" s="23"/>
      <c r="D100" s="23"/>
      <c r="E100" s="23"/>
      <c r="F100" s="23"/>
      <c r="G100" s="23"/>
      <c r="H100" s="95"/>
      <c r="I100" s="95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spans="1:36" ht="15.75" customHeight="1" x14ac:dyDescent="0.3">
      <c r="A101" s="23"/>
      <c r="B101" s="23"/>
      <c r="C101" s="23"/>
      <c r="D101" s="23"/>
      <c r="E101" s="23"/>
      <c r="F101" s="23"/>
      <c r="G101" s="23"/>
      <c r="H101" s="95"/>
      <c r="I101" s="95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spans="1:36" ht="15.75" customHeight="1" x14ac:dyDescent="0.3">
      <c r="A102" s="23"/>
      <c r="B102" s="23"/>
      <c r="C102" s="23"/>
      <c r="D102" s="23"/>
      <c r="E102" s="23"/>
      <c r="F102" s="23"/>
      <c r="G102" s="23"/>
      <c r="H102" s="95"/>
      <c r="I102" s="95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spans="1:36" ht="32.25" customHeight="1" x14ac:dyDescent="0.3">
      <c r="A103" s="23"/>
      <c r="B103" s="23"/>
      <c r="C103" s="23"/>
      <c r="D103" s="23"/>
      <c r="E103" s="23"/>
      <c r="F103" s="23"/>
      <c r="G103" s="23"/>
      <c r="H103" s="95"/>
      <c r="I103" s="95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spans="1:36" ht="15.75" customHeight="1" x14ac:dyDescent="0.3">
      <c r="A104" s="23"/>
      <c r="B104" s="23"/>
      <c r="C104" s="23"/>
      <c r="D104" s="23"/>
      <c r="E104" s="23"/>
      <c r="F104" s="23"/>
      <c r="G104" s="23"/>
      <c r="H104" s="95"/>
      <c r="I104" s="95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spans="1:36" ht="15.75" customHeight="1" x14ac:dyDescent="0.3">
      <c r="A105" s="23"/>
      <c r="B105" s="23"/>
      <c r="C105" s="23"/>
      <c r="D105" s="23"/>
      <c r="E105" s="23"/>
      <c r="F105" s="23"/>
      <c r="G105" s="23"/>
      <c r="H105" s="95"/>
      <c r="I105" s="95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spans="1:36" ht="15.75" customHeight="1" x14ac:dyDescent="0.3">
      <c r="A106" s="23"/>
      <c r="B106" s="23"/>
      <c r="C106" s="23"/>
      <c r="D106" s="23"/>
      <c r="E106" s="23"/>
      <c r="F106" s="23"/>
      <c r="G106" s="23"/>
      <c r="H106" s="95"/>
      <c r="I106" s="95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spans="1:36" ht="15.75" customHeight="1" x14ac:dyDescent="0.3">
      <c r="A107" s="23"/>
      <c r="B107" s="23"/>
      <c r="C107" s="23"/>
      <c r="D107" s="23"/>
      <c r="E107" s="23"/>
      <c r="F107" s="23"/>
      <c r="G107" s="23"/>
      <c r="H107" s="95"/>
      <c r="I107" s="95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spans="1:36" ht="15.75" customHeight="1" x14ac:dyDescent="0.3">
      <c r="A108" s="23"/>
      <c r="B108" s="23"/>
      <c r="C108" s="23"/>
      <c r="D108" s="23"/>
      <c r="E108" s="23"/>
      <c r="F108" s="23"/>
      <c r="G108" s="23"/>
      <c r="H108" s="95"/>
      <c r="I108" s="95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spans="1:36" ht="15.75" customHeight="1" x14ac:dyDescent="0.3">
      <c r="A109" s="23"/>
      <c r="B109" s="23"/>
      <c r="C109" s="23"/>
      <c r="D109" s="23"/>
      <c r="E109" s="23"/>
      <c r="F109" s="23"/>
      <c r="G109" s="23"/>
      <c r="H109" s="95"/>
      <c r="I109" s="95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spans="1:36" ht="15.75" customHeight="1" x14ac:dyDescent="0.3">
      <c r="A110" s="23"/>
      <c r="B110" s="23"/>
      <c r="C110" s="23"/>
      <c r="D110" s="23"/>
      <c r="E110" s="23"/>
      <c r="F110" s="23"/>
      <c r="G110" s="23"/>
      <c r="H110" s="95"/>
      <c r="I110" s="95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spans="1:36" ht="15.75" customHeight="1" x14ac:dyDescent="0.3">
      <c r="A111" s="23"/>
      <c r="B111" s="23"/>
      <c r="C111" s="23"/>
      <c r="D111" s="23"/>
      <c r="E111" s="23"/>
      <c r="F111" s="23"/>
      <c r="G111" s="23"/>
      <c r="H111" s="95"/>
      <c r="I111" s="95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</row>
    <row r="112" spans="1:36" ht="15.75" customHeight="1" x14ac:dyDescent="0.3">
      <c r="A112" s="23"/>
      <c r="B112" s="23"/>
      <c r="C112" s="23"/>
      <c r="D112" s="23"/>
      <c r="E112" s="23"/>
      <c r="F112" s="23"/>
      <c r="G112" s="23"/>
      <c r="H112" s="95"/>
      <c r="I112" s="95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</row>
    <row r="113" spans="1:36" ht="15.75" customHeight="1" x14ac:dyDescent="0.3">
      <c r="A113" s="23"/>
      <c r="B113" s="23"/>
      <c r="C113" s="23"/>
      <c r="D113" s="23"/>
      <c r="E113" s="23"/>
      <c r="F113" s="23"/>
      <c r="G113" s="23"/>
      <c r="H113" s="95"/>
      <c r="I113" s="95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</row>
    <row r="114" spans="1:36" ht="15.75" customHeight="1" x14ac:dyDescent="0.3">
      <c r="A114" s="23"/>
      <c r="B114" s="23"/>
      <c r="C114" s="23"/>
      <c r="D114" s="23"/>
      <c r="E114" s="23"/>
      <c r="F114" s="23"/>
      <c r="G114" s="23"/>
      <c r="H114" s="95"/>
      <c r="I114" s="95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</row>
    <row r="115" spans="1:36" ht="15.75" customHeight="1" x14ac:dyDescent="0.3">
      <c r="A115" s="23"/>
      <c r="B115" s="23"/>
      <c r="C115" s="23"/>
      <c r="D115" s="23"/>
      <c r="E115" s="23"/>
      <c r="F115" s="23"/>
      <c r="G115" s="23"/>
      <c r="H115" s="95"/>
      <c r="I115" s="95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spans="1:36" ht="15.75" customHeight="1" x14ac:dyDescent="0.3">
      <c r="A116" s="23"/>
      <c r="B116" s="23"/>
      <c r="C116" s="23"/>
      <c r="D116" s="23"/>
      <c r="E116" s="23"/>
      <c r="F116" s="23"/>
      <c r="G116" s="23"/>
      <c r="H116" s="95"/>
      <c r="I116" s="95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</row>
    <row r="117" spans="1:36" ht="15.75" customHeight="1" x14ac:dyDescent="0.3">
      <c r="A117" s="23"/>
      <c r="B117" s="23"/>
      <c r="C117" s="23"/>
      <c r="D117" s="23"/>
      <c r="E117" s="23"/>
      <c r="F117" s="23"/>
      <c r="G117" s="23"/>
      <c r="H117" s="95"/>
      <c r="I117" s="95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</row>
    <row r="118" spans="1:36" ht="15.75" customHeight="1" x14ac:dyDescent="0.3">
      <c r="A118" s="23"/>
      <c r="B118" s="23"/>
      <c r="C118" s="23"/>
      <c r="D118" s="23"/>
      <c r="E118" s="23"/>
      <c r="F118" s="23"/>
      <c r="G118" s="23"/>
      <c r="H118" s="95"/>
      <c r="I118" s="95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</row>
    <row r="119" spans="1:36" ht="15.75" customHeight="1" x14ac:dyDescent="0.3">
      <c r="A119" s="23"/>
      <c r="B119" s="23"/>
      <c r="C119" s="23"/>
      <c r="D119" s="23"/>
      <c r="E119" s="23"/>
      <c r="F119" s="23"/>
      <c r="G119" s="23"/>
      <c r="H119" s="95"/>
      <c r="I119" s="95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</row>
    <row r="120" spans="1:36" ht="15.75" customHeight="1" x14ac:dyDescent="0.3">
      <c r="A120" s="23"/>
      <c r="B120" s="23"/>
      <c r="C120" s="23"/>
      <c r="D120" s="23"/>
      <c r="E120" s="23"/>
      <c r="F120" s="23"/>
      <c r="G120" s="23"/>
      <c r="H120" s="95"/>
      <c r="I120" s="95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</row>
    <row r="121" spans="1:36" ht="15.75" customHeight="1" x14ac:dyDescent="0.3">
      <c r="A121" s="23"/>
      <c r="B121" s="23"/>
      <c r="C121" s="23"/>
      <c r="D121" s="23"/>
      <c r="E121" s="23"/>
      <c r="F121" s="23"/>
      <c r="G121" s="23"/>
      <c r="H121" s="95"/>
      <c r="I121" s="95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</row>
    <row r="122" spans="1:36" ht="15.75" customHeight="1" x14ac:dyDescent="0.3">
      <c r="A122" s="23"/>
      <c r="B122" s="23"/>
      <c r="C122" s="23"/>
      <c r="D122" s="23"/>
      <c r="E122" s="23"/>
      <c r="F122" s="23"/>
      <c r="G122" s="23"/>
      <c r="H122" s="95"/>
      <c r="I122" s="95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</row>
    <row r="123" spans="1:36" ht="15.75" customHeight="1" x14ac:dyDescent="0.3">
      <c r="A123" s="23"/>
      <c r="B123" s="23"/>
      <c r="C123" s="23"/>
      <c r="D123" s="23"/>
      <c r="E123" s="23"/>
      <c r="F123" s="23"/>
      <c r="G123" s="23"/>
      <c r="H123" s="95"/>
      <c r="I123" s="95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</row>
    <row r="124" spans="1:36" ht="15.75" customHeight="1" x14ac:dyDescent="0.3">
      <c r="A124" s="23"/>
      <c r="B124" s="23"/>
      <c r="C124" s="23"/>
      <c r="D124" s="23"/>
      <c r="E124" s="23"/>
      <c r="F124" s="23"/>
      <c r="G124" s="23"/>
      <c r="H124" s="95"/>
      <c r="I124" s="95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</row>
    <row r="125" spans="1:36" ht="15.75" customHeight="1" x14ac:dyDescent="0.3">
      <c r="A125" s="23"/>
      <c r="B125" s="23"/>
      <c r="C125" s="23"/>
      <c r="D125" s="23"/>
      <c r="E125" s="23"/>
      <c r="F125" s="23"/>
      <c r="G125" s="23"/>
      <c r="H125" s="95"/>
      <c r="I125" s="95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</row>
    <row r="126" spans="1:36" ht="15.75" customHeight="1" x14ac:dyDescent="0.3">
      <c r="A126" s="23"/>
      <c r="B126" s="23"/>
      <c r="C126" s="23"/>
      <c r="D126" s="23"/>
      <c r="E126" s="23"/>
      <c r="F126" s="23"/>
      <c r="G126" s="23"/>
      <c r="H126" s="95"/>
      <c r="I126" s="95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</row>
    <row r="127" spans="1:36" ht="15.75" customHeight="1" x14ac:dyDescent="0.3">
      <c r="A127" s="23"/>
      <c r="B127" s="23"/>
      <c r="C127" s="23"/>
      <c r="D127" s="23"/>
      <c r="E127" s="23"/>
      <c r="F127" s="23"/>
      <c r="G127" s="23"/>
      <c r="H127" s="95"/>
      <c r="I127" s="95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</row>
    <row r="128" spans="1:36" ht="15.75" customHeight="1" x14ac:dyDescent="0.3">
      <c r="A128" s="23"/>
      <c r="B128" s="23"/>
      <c r="C128" s="23"/>
      <c r="D128" s="23"/>
      <c r="E128" s="23"/>
      <c r="F128" s="23"/>
      <c r="G128" s="23"/>
      <c r="H128" s="95"/>
      <c r="I128" s="95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</row>
    <row r="129" spans="1:36" ht="15.75" customHeight="1" x14ac:dyDescent="0.3">
      <c r="A129" s="23"/>
      <c r="B129" s="23"/>
      <c r="C129" s="23"/>
      <c r="D129" s="23"/>
      <c r="E129" s="23"/>
      <c r="F129" s="23"/>
      <c r="G129" s="23"/>
      <c r="H129" s="95"/>
      <c r="I129" s="95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</row>
    <row r="130" spans="1:36" ht="15.75" customHeight="1" x14ac:dyDescent="0.3">
      <c r="A130" s="23"/>
      <c r="B130" s="23"/>
      <c r="C130" s="23"/>
      <c r="D130" s="23"/>
      <c r="E130" s="23"/>
      <c r="F130" s="23"/>
      <c r="G130" s="23"/>
      <c r="H130" s="95"/>
      <c r="I130" s="95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</row>
    <row r="131" spans="1:36" ht="15.75" customHeight="1" x14ac:dyDescent="0.3">
      <c r="A131" s="23"/>
      <c r="B131" s="23"/>
      <c r="C131" s="23"/>
      <c r="D131" s="23"/>
      <c r="E131" s="23"/>
      <c r="F131" s="23"/>
      <c r="G131" s="23"/>
      <c r="H131" s="95"/>
      <c r="I131" s="95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</row>
    <row r="132" spans="1:36" ht="15.75" customHeight="1" x14ac:dyDescent="0.3">
      <c r="A132" s="23"/>
      <c r="B132" s="23"/>
      <c r="C132" s="23"/>
      <c r="D132" s="23"/>
      <c r="E132" s="23"/>
      <c r="F132" s="23"/>
      <c r="G132" s="23"/>
      <c r="H132" s="95"/>
      <c r="I132" s="95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</row>
    <row r="133" spans="1:36" ht="15.75" customHeight="1" x14ac:dyDescent="0.3">
      <c r="A133" s="23"/>
      <c r="B133" s="23"/>
      <c r="C133" s="23"/>
      <c r="D133" s="23"/>
      <c r="E133" s="23"/>
      <c r="F133" s="23"/>
      <c r="G133" s="23"/>
      <c r="H133" s="95"/>
      <c r="I133" s="95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</row>
    <row r="134" spans="1:36" ht="15.75" customHeight="1" x14ac:dyDescent="0.3">
      <c r="A134" s="23"/>
      <c r="B134" s="23"/>
      <c r="C134" s="23"/>
      <c r="D134" s="23"/>
      <c r="E134" s="23"/>
      <c r="F134" s="23"/>
      <c r="G134" s="23"/>
      <c r="H134" s="95"/>
      <c r="I134" s="95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</row>
    <row r="135" spans="1:36" ht="15.75" customHeight="1" x14ac:dyDescent="0.3">
      <c r="A135" s="23"/>
      <c r="B135" s="23"/>
      <c r="C135" s="23"/>
      <c r="D135" s="23"/>
      <c r="E135" s="23"/>
      <c r="F135" s="23"/>
      <c r="G135" s="23"/>
      <c r="H135" s="95"/>
      <c r="I135" s="95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</row>
    <row r="136" spans="1:36" ht="15.75" customHeight="1" x14ac:dyDescent="0.3">
      <c r="A136" s="23"/>
      <c r="B136" s="23"/>
      <c r="C136" s="23"/>
      <c r="D136" s="23"/>
      <c r="E136" s="23"/>
      <c r="F136" s="23"/>
      <c r="G136" s="23"/>
      <c r="H136" s="95"/>
      <c r="I136" s="95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</row>
    <row r="137" spans="1:36" ht="15.75" customHeight="1" x14ac:dyDescent="0.3">
      <c r="A137" s="23"/>
      <c r="B137" s="23"/>
      <c r="C137" s="23"/>
      <c r="D137" s="23"/>
      <c r="E137" s="23"/>
      <c r="F137" s="23"/>
      <c r="G137" s="23"/>
      <c r="H137" s="95"/>
      <c r="I137" s="95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</row>
    <row r="138" spans="1:36" ht="15.75" customHeight="1" x14ac:dyDescent="0.3">
      <c r="A138" s="23"/>
      <c r="B138" s="23"/>
      <c r="C138" s="23"/>
      <c r="D138" s="23"/>
      <c r="E138" s="23"/>
      <c r="F138" s="23"/>
      <c r="G138" s="23"/>
      <c r="H138" s="95"/>
      <c r="I138" s="95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</row>
    <row r="139" spans="1:36" ht="15.75" customHeight="1" x14ac:dyDescent="0.3">
      <c r="A139" s="23"/>
      <c r="B139" s="23"/>
      <c r="C139" s="23"/>
      <c r="D139" s="23"/>
      <c r="E139" s="23"/>
      <c r="F139" s="23"/>
      <c r="G139" s="23"/>
      <c r="H139" s="95"/>
      <c r="I139" s="95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</row>
    <row r="140" spans="1:36" ht="15.75" customHeight="1" x14ac:dyDescent="0.3">
      <c r="A140" s="23"/>
      <c r="B140" s="23"/>
      <c r="C140" s="23"/>
      <c r="D140" s="23"/>
      <c r="E140" s="23"/>
      <c r="F140" s="23"/>
      <c r="G140" s="23"/>
      <c r="H140" s="95"/>
      <c r="I140" s="95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</row>
    <row r="141" spans="1:36" ht="15.75" customHeight="1" x14ac:dyDescent="0.3">
      <c r="A141" s="23"/>
      <c r="B141" s="23"/>
      <c r="C141" s="23"/>
      <c r="D141" s="23"/>
      <c r="E141" s="23"/>
      <c r="F141" s="23"/>
      <c r="G141" s="23"/>
      <c r="H141" s="95"/>
      <c r="I141" s="95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  <row r="142" spans="1:36" ht="15.75" customHeight="1" x14ac:dyDescent="0.3">
      <c r="A142" s="23"/>
      <c r="B142" s="23"/>
      <c r="C142" s="23"/>
      <c r="D142" s="23"/>
      <c r="E142" s="23"/>
      <c r="F142" s="23"/>
      <c r="G142" s="23"/>
      <c r="H142" s="95"/>
      <c r="I142" s="95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</row>
    <row r="143" spans="1:36" ht="15.75" customHeight="1" x14ac:dyDescent="0.3">
      <c r="A143" s="23"/>
      <c r="B143" s="23"/>
      <c r="C143" s="23"/>
      <c r="D143" s="23"/>
      <c r="E143" s="23"/>
      <c r="F143" s="23"/>
      <c r="G143" s="23"/>
      <c r="H143" s="95"/>
      <c r="I143" s="95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</row>
    <row r="144" spans="1:36" ht="15.75" customHeight="1" x14ac:dyDescent="0.3">
      <c r="A144" s="23"/>
      <c r="B144" s="23"/>
      <c r="C144" s="23"/>
      <c r="D144" s="23"/>
      <c r="E144" s="23"/>
      <c r="F144" s="23"/>
      <c r="G144" s="23"/>
      <c r="H144" s="95"/>
      <c r="I144" s="95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</row>
    <row r="145" spans="1:36" ht="15.75" customHeight="1" x14ac:dyDescent="0.3">
      <c r="A145" s="23"/>
      <c r="B145" s="23"/>
      <c r="C145" s="23"/>
      <c r="D145" s="23"/>
      <c r="E145" s="23"/>
      <c r="F145" s="23"/>
      <c r="G145" s="23"/>
      <c r="H145" s="95"/>
      <c r="I145" s="95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</row>
    <row r="146" spans="1:36" ht="15.75" customHeight="1" x14ac:dyDescent="0.3">
      <c r="A146" s="23"/>
      <c r="B146" s="23"/>
      <c r="C146" s="23"/>
      <c r="D146" s="23"/>
      <c r="E146" s="23"/>
      <c r="F146" s="23"/>
      <c r="G146" s="23"/>
      <c r="H146" s="95"/>
      <c r="I146" s="95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</row>
    <row r="147" spans="1:36" ht="15.75" customHeight="1" x14ac:dyDescent="0.3">
      <c r="A147" s="23"/>
      <c r="B147" s="23"/>
      <c r="C147" s="23"/>
      <c r="D147" s="23"/>
      <c r="E147" s="23"/>
      <c r="F147" s="23"/>
      <c r="G147" s="23"/>
      <c r="H147" s="95"/>
      <c r="I147" s="95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</row>
    <row r="148" spans="1:36" ht="15.75" customHeight="1" x14ac:dyDescent="0.3">
      <c r="A148" s="23"/>
      <c r="B148" s="23"/>
      <c r="C148" s="23"/>
      <c r="D148" s="23"/>
      <c r="E148" s="23"/>
      <c r="F148" s="23"/>
      <c r="G148" s="23"/>
      <c r="H148" s="95"/>
      <c r="I148" s="95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</row>
    <row r="149" spans="1:36" ht="15.75" customHeight="1" x14ac:dyDescent="0.3">
      <c r="A149" s="23"/>
      <c r="B149" s="23"/>
      <c r="C149" s="23"/>
      <c r="D149" s="23"/>
      <c r="E149" s="23"/>
      <c r="F149" s="23"/>
      <c r="G149" s="23"/>
      <c r="H149" s="95"/>
      <c r="I149" s="95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</row>
    <row r="150" spans="1:36" ht="15.75" customHeight="1" x14ac:dyDescent="0.3">
      <c r="A150" s="23"/>
      <c r="B150" s="23"/>
      <c r="C150" s="23"/>
      <c r="D150" s="23"/>
      <c r="E150" s="23"/>
      <c r="F150" s="23"/>
      <c r="G150" s="23"/>
      <c r="H150" s="95"/>
      <c r="I150" s="95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</row>
    <row r="151" spans="1:36" ht="15.75" customHeight="1" x14ac:dyDescent="0.3">
      <c r="A151" s="23"/>
      <c r="B151" s="23"/>
      <c r="C151" s="23"/>
      <c r="D151" s="23"/>
      <c r="E151" s="23"/>
      <c r="F151" s="23"/>
      <c r="G151" s="23"/>
      <c r="H151" s="95"/>
      <c r="I151" s="95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</row>
    <row r="152" spans="1:36" ht="15.75" customHeight="1" x14ac:dyDescent="0.3">
      <c r="A152" s="23"/>
      <c r="B152" s="23"/>
      <c r="C152" s="23"/>
      <c r="D152" s="23"/>
      <c r="E152" s="23"/>
      <c r="F152" s="23"/>
      <c r="G152" s="23"/>
      <c r="H152" s="95"/>
      <c r="I152" s="95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</row>
    <row r="153" spans="1:36" ht="15.75" customHeight="1" x14ac:dyDescent="0.3">
      <c r="A153" s="23"/>
      <c r="B153" s="23"/>
      <c r="C153" s="23"/>
      <c r="D153" s="23"/>
      <c r="E153" s="23"/>
      <c r="F153" s="23"/>
      <c r="G153" s="23"/>
      <c r="H153" s="95"/>
      <c r="I153" s="95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</row>
    <row r="154" spans="1:36" ht="15.75" customHeight="1" x14ac:dyDescent="0.3">
      <c r="A154" s="23"/>
      <c r="B154" s="23"/>
      <c r="C154" s="23"/>
      <c r="D154" s="23"/>
      <c r="E154" s="23"/>
      <c r="F154" s="23"/>
      <c r="G154" s="23"/>
      <c r="H154" s="95"/>
      <c r="I154" s="95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</row>
    <row r="155" spans="1:36" ht="15.75" customHeight="1" x14ac:dyDescent="0.3">
      <c r="A155" s="23"/>
      <c r="B155" s="23"/>
      <c r="C155" s="23"/>
      <c r="D155" s="23"/>
      <c r="E155" s="23"/>
      <c r="F155" s="23"/>
      <c r="G155" s="23"/>
      <c r="H155" s="95"/>
      <c r="I155" s="95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</row>
    <row r="156" spans="1:36" ht="15.75" customHeight="1" x14ac:dyDescent="0.3">
      <c r="A156" s="23"/>
      <c r="B156" s="23"/>
      <c r="C156" s="23"/>
      <c r="D156" s="23"/>
      <c r="E156" s="23"/>
      <c r="F156" s="23"/>
      <c r="G156" s="23"/>
      <c r="H156" s="95"/>
      <c r="I156" s="95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</row>
    <row r="157" spans="1:36" ht="15.75" customHeight="1" x14ac:dyDescent="0.3">
      <c r="A157" s="23"/>
      <c r="B157" s="23"/>
      <c r="C157" s="23"/>
      <c r="D157" s="23"/>
      <c r="E157" s="23"/>
      <c r="F157" s="23"/>
      <c r="G157" s="23"/>
      <c r="H157" s="95"/>
      <c r="I157" s="95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</row>
    <row r="158" spans="1:36" ht="15.75" customHeight="1" x14ac:dyDescent="0.3">
      <c r="A158" s="23"/>
      <c r="B158" s="23"/>
      <c r="C158" s="23"/>
      <c r="D158" s="23"/>
      <c r="E158" s="23"/>
      <c r="F158" s="23"/>
      <c r="G158" s="23"/>
      <c r="H158" s="95"/>
      <c r="I158" s="95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</row>
    <row r="159" spans="1:36" ht="15.75" customHeight="1" x14ac:dyDescent="0.3">
      <c r="A159" s="23"/>
      <c r="B159" s="23"/>
      <c r="C159" s="23"/>
      <c r="D159" s="23"/>
      <c r="E159" s="23"/>
      <c r="F159" s="23"/>
      <c r="G159" s="23"/>
      <c r="H159" s="95"/>
      <c r="I159" s="95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</row>
    <row r="160" spans="1:36" ht="15.75" customHeight="1" x14ac:dyDescent="0.3">
      <c r="A160" s="23"/>
      <c r="B160" s="23"/>
      <c r="C160" s="23"/>
      <c r="D160" s="23"/>
      <c r="E160" s="23"/>
      <c r="F160" s="23"/>
      <c r="G160" s="23"/>
      <c r="H160" s="95"/>
      <c r="I160" s="95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</row>
    <row r="161" spans="1:36" ht="15.75" customHeight="1" x14ac:dyDescent="0.3">
      <c r="A161" s="23"/>
      <c r="B161" s="23"/>
      <c r="C161" s="23"/>
      <c r="D161" s="23"/>
      <c r="E161" s="23"/>
      <c r="F161" s="23"/>
      <c r="G161" s="23"/>
      <c r="H161" s="95"/>
      <c r="I161" s="95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</row>
    <row r="162" spans="1:36" ht="15.75" customHeight="1" x14ac:dyDescent="0.3">
      <c r="A162" s="23"/>
      <c r="B162" s="23"/>
      <c r="C162" s="23"/>
      <c r="D162" s="23"/>
      <c r="E162" s="23"/>
      <c r="F162" s="23"/>
      <c r="G162" s="23"/>
      <c r="H162" s="95"/>
      <c r="I162" s="95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</row>
    <row r="163" spans="1:36" ht="15.75" customHeight="1" x14ac:dyDescent="0.3">
      <c r="A163" s="23"/>
      <c r="B163" s="23"/>
      <c r="C163" s="23"/>
      <c r="D163" s="23"/>
      <c r="E163" s="23"/>
      <c r="F163" s="23"/>
      <c r="G163" s="23"/>
      <c r="H163" s="95"/>
      <c r="I163" s="95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</row>
    <row r="164" spans="1:36" ht="15.75" customHeight="1" x14ac:dyDescent="0.3">
      <c r="A164" s="23"/>
      <c r="B164" s="23"/>
      <c r="C164" s="23"/>
      <c r="D164" s="23"/>
      <c r="E164" s="23"/>
      <c r="F164" s="23"/>
      <c r="G164" s="23"/>
      <c r="H164" s="95"/>
      <c r="I164" s="95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</row>
    <row r="165" spans="1:36" ht="15.75" customHeight="1" x14ac:dyDescent="0.3">
      <c r="A165" s="23"/>
      <c r="B165" s="23"/>
      <c r="C165" s="23"/>
      <c r="D165" s="23"/>
      <c r="E165" s="23"/>
      <c r="F165" s="23"/>
      <c r="G165" s="23"/>
      <c r="H165" s="95"/>
      <c r="I165" s="95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</row>
    <row r="166" spans="1:36" ht="15.75" customHeight="1" x14ac:dyDescent="0.3">
      <c r="A166" s="23"/>
      <c r="B166" s="23"/>
      <c r="C166" s="23"/>
      <c r="D166" s="23"/>
      <c r="E166" s="23"/>
      <c r="F166" s="23"/>
      <c r="G166" s="23"/>
      <c r="H166" s="95"/>
      <c r="I166" s="95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</row>
    <row r="167" spans="1:36" ht="15.75" customHeight="1" x14ac:dyDescent="0.3">
      <c r="A167" s="23"/>
      <c r="B167" s="23"/>
      <c r="C167" s="23"/>
      <c r="D167" s="23"/>
      <c r="E167" s="23"/>
      <c r="F167" s="23"/>
      <c r="G167" s="23"/>
      <c r="H167" s="95"/>
      <c r="I167" s="95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</row>
    <row r="168" spans="1:36" ht="15.75" customHeight="1" x14ac:dyDescent="0.3">
      <c r="A168" s="23"/>
      <c r="B168" s="23"/>
      <c r="C168" s="23"/>
      <c r="D168" s="23"/>
      <c r="E168" s="23"/>
      <c r="F168" s="23"/>
      <c r="G168" s="23"/>
      <c r="H168" s="95"/>
      <c r="I168" s="95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</row>
    <row r="169" spans="1:36" ht="15.75" customHeight="1" x14ac:dyDescent="0.3">
      <c r="A169" s="23"/>
      <c r="B169" s="23"/>
      <c r="C169" s="23"/>
      <c r="D169" s="23"/>
      <c r="E169" s="23"/>
      <c r="F169" s="23"/>
      <c r="G169" s="23"/>
      <c r="H169" s="95"/>
      <c r="I169" s="95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</row>
    <row r="170" spans="1:36" ht="15.75" customHeight="1" x14ac:dyDescent="0.3">
      <c r="A170" s="23"/>
      <c r="B170" s="23"/>
      <c r="C170" s="23"/>
      <c r="D170" s="23"/>
      <c r="E170" s="23"/>
      <c r="F170" s="23"/>
      <c r="G170" s="23"/>
      <c r="H170" s="95"/>
      <c r="I170" s="95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</row>
    <row r="171" spans="1:36" ht="15.75" customHeight="1" x14ac:dyDescent="0.3">
      <c r="A171" s="23"/>
      <c r="B171" s="23"/>
      <c r="C171" s="23"/>
      <c r="D171" s="23"/>
      <c r="E171" s="23"/>
      <c r="F171" s="23"/>
      <c r="G171" s="23"/>
      <c r="H171" s="95"/>
      <c r="I171" s="95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</row>
    <row r="172" spans="1:36" ht="15.75" customHeight="1" x14ac:dyDescent="0.3">
      <c r="A172" s="23"/>
      <c r="B172" s="23"/>
      <c r="C172" s="23"/>
      <c r="D172" s="23"/>
      <c r="E172" s="23"/>
      <c r="F172" s="23"/>
      <c r="G172" s="23"/>
      <c r="H172" s="95"/>
      <c r="I172" s="95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</row>
    <row r="173" spans="1:36" ht="15.75" customHeight="1" x14ac:dyDescent="0.3">
      <c r="A173" s="23"/>
      <c r="B173" s="23"/>
      <c r="C173" s="23"/>
      <c r="D173" s="23"/>
      <c r="E173" s="23"/>
      <c r="F173" s="23"/>
      <c r="G173" s="23"/>
      <c r="H173" s="95"/>
      <c r="I173" s="95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</row>
    <row r="174" spans="1:36" ht="15.75" customHeight="1" x14ac:dyDescent="0.3">
      <c r="A174" s="23"/>
      <c r="B174" s="23"/>
      <c r="C174" s="23"/>
      <c r="D174" s="23"/>
      <c r="E174" s="23"/>
      <c r="F174" s="23"/>
      <c r="G174" s="23"/>
      <c r="H174" s="95"/>
      <c r="I174" s="95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</row>
    <row r="175" spans="1:36" ht="15.75" customHeight="1" x14ac:dyDescent="0.3">
      <c r="A175" s="23"/>
      <c r="B175" s="23"/>
      <c r="C175" s="23"/>
      <c r="D175" s="23"/>
      <c r="E175" s="23"/>
      <c r="F175" s="23"/>
      <c r="G175" s="23"/>
      <c r="H175" s="95"/>
      <c r="I175" s="95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</row>
    <row r="176" spans="1:36" ht="15.75" customHeight="1" x14ac:dyDescent="0.3">
      <c r="A176" s="23"/>
      <c r="B176" s="23"/>
      <c r="C176" s="23"/>
      <c r="D176" s="23"/>
      <c r="E176" s="23"/>
      <c r="F176" s="23"/>
      <c r="G176" s="23"/>
      <c r="H176" s="95"/>
      <c r="I176" s="95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</row>
    <row r="177" spans="1:36" ht="15.75" customHeight="1" x14ac:dyDescent="0.3">
      <c r="A177" s="23"/>
      <c r="B177" s="23"/>
      <c r="C177" s="23"/>
      <c r="D177" s="23"/>
      <c r="E177" s="23"/>
      <c r="F177" s="23"/>
      <c r="G177" s="23"/>
      <c r="H177" s="95"/>
      <c r="I177" s="95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</row>
    <row r="178" spans="1:36" ht="15.75" customHeight="1" x14ac:dyDescent="0.3">
      <c r="A178" s="23"/>
      <c r="B178" s="23"/>
      <c r="C178" s="23"/>
      <c r="D178" s="23"/>
      <c r="E178" s="23"/>
      <c r="F178" s="23"/>
      <c r="G178" s="23"/>
      <c r="H178" s="95"/>
      <c r="I178" s="95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</row>
    <row r="179" spans="1:36" ht="15.75" customHeight="1" x14ac:dyDescent="0.3">
      <c r="A179" s="23"/>
      <c r="B179" s="23"/>
      <c r="C179" s="23"/>
      <c r="D179" s="23"/>
      <c r="E179" s="23"/>
      <c r="F179" s="23"/>
      <c r="G179" s="23"/>
      <c r="H179" s="95"/>
      <c r="I179" s="95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</row>
    <row r="180" spans="1:36" ht="15.75" customHeight="1" x14ac:dyDescent="0.3">
      <c r="A180" s="23"/>
      <c r="B180" s="23"/>
      <c r="C180" s="23"/>
      <c r="D180" s="23"/>
      <c r="E180" s="23"/>
      <c r="F180" s="23"/>
      <c r="G180" s="23"/>
      <c r="H180" s="95"/>
      <c r="I180" s="95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</row>
    <row r="181" spans="1:36" ht="15.75" customHeight="1" x14ac:dyDescent="0.3">
      <c r="A181" s="23"/>
      <c r="B181" s="23"/>
      <c r="C181" s="23"/>
      <c r="D181" s="23"/>
      <c r="E181" s="23"/>
      <c r="F181" s="23"/>
      <c r="G181" s="23"/>
      <c r="H181" s="95"/>
      <c r="I181" s="95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</row>
    <row r="182" spans="1:36" ht="15.75" customHeight="1" x14ac:dyDescent="0.3">
      <c r="A182" s="23"/>
      <c r="B182" s="23"/>
      <c r="C182" s="23"/>
      <c r="D182" s="23"/>
      <c r="E182" s="23"/>
      <c r="F182" s="23"/>
      <c r="G182" s="23"/>
      <c r="H182" s="95"/>
      <c r="I182" s="95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</row>
    <row r="183" spans="1:36" ht="15.75" customHeight="1" x14ac:dyDescent="0.3">
      <c r="A183" s="23"/>
      <c r="B183" s="23"/>
      <c r="C183" s="23"/>
      <c r="D183" s="23"/>
      <c r="E183" s="23"/>
      <c r="F183" s="23"/>
      <c r="G183" s="23"/>
      <c r="H183" s="95"/>
      <c r="I183" s="95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</row>
    <row r="184" spans="1:36" ht="15.75" customHeight="1" x14ac:dyDescent="0.3">
      <c r="A184" s="23"/>
      <c r="B184" s="23"/>
      <c r="C184" s="23"/>
      <c r="D184" s="23"/>
      <c r="E184" s="23"/>
      <c r="F184" s="23"/>
      <c r="G184" s="23"/>
      <c r="H184" s="95"/>
      <c r="I184" s="95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</row>
    <row r="185" spans="1:36" ht="15.75" customHeight="1" x14ac:dyDescent="0.3">
      <c r="A185" s="23"/>
      <c r="B185" s="23"/>
      <c r="C185" s="23"/>
      <c r="D185" s="23"/>
      <c r="E185" s="23"/>
      <c r="F185" s="23"/>
      <c r="G185" s="23"/>
      <c r="H185" s="95"/>
      <c r="I185" s="95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</row>
    <row r="186" spans="1:36" ht="15.75" customHeight="1" x14ac:dyDescent="0.3">
      <c r="A186" s="23"/>
      <c r="B186" s="23"/>
      <c r="C186" s="23"/>
      <c r="D186" s="23"/>
      <c r="E186" s="23"/>
      <c r="F186" s="23"/>
      <c r="G186" s="23"/>
      <c r="H186" s="95"/>
      <c r="I186" s="95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</row>
    <row r="187" spans="1:36" ht="15.75" customHeight="1" x14ac:dyDescent="0.3">
      <c r="A187" s="23"/>
      <c r="B187" s="23"/>
      <c r="C187" s="23"/>
      <c r="D187" s="23"/>
      <c r="E187" s="23"/>
      <c r="F187" s="23"/>
      <c r="G187" s="23"/>
      <c r="H187" s="95"/>
      <c r="I187" s="95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</row>
    <row r="188" spans="1:36" ht="15.75" customHeight="1" x14ac:dyDescent="0.3">
      <c r="A188" s="23"/>
      <c r="B188" s="23"/>
      <c r="C188" s="23"/>
      <c r="D188" s="23"/>
      <c r="E188" s="23"/>
      <c r="F188" s="23"/>
      <c r="G188" s="23"/>
      <c r="H188" s="95"/>
      <c r="I188" s="95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</row>
    <row r="189" spans="1:36" ht="15.75" customHeight="1" x14ac:dyDescent="0.3">
      <c r="A189" s="23"/>
      <c r="B189" s="23"/>
      <c r="C189" s="23"/>
      <c r="D189" s="23"/>
      <c r="E189" s="23"/>
      <c r="F189" s="23"/>
      <c r="G189" s="23"/>
      <c r="H189" s="95"/>
      <c r="I189" s="95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</row>
    <row r="190" spans="1:36" ht="15.75" customHeight="1" x14ac:dyDescent="0.3">
      <c r="A190" s="23"/>
      <c r="B190" s="23"/>
      <c r="C190" s="23"/>
      <c r="D190" s="23"/>
      <c r="E190" s="23"/>
      <c r="F190" s="23"/>
      <c r="G190" s="23"/>
      <c r="H190" s="95"/>
      <c r="I190" s="95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</row>
    <row r="191" spans="1:36" ht="15.75" customHeight="1" x14ac:dyDescent="0.3">
      <c r="A191" s="23"/>
      <c r="B191" s="23"/>
      <c r="C191" s="23"/>
      <c r="D191" s="23"/>
      <c r="E191" s="23"/>
      <c r="F191" s="23"/>
      <c r="G191" s="23"/>
      <c r="H191" s="95"/>
      <c r="I191" s="95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</row>
    <row r="192" spans="1:36" ht="15.75" customHeight="1" x14ac:dyDescent="0.3">
      <c r="A192" s="23"/>
      <c r="B192" s="23"/>
      <c r="C192" s="23"/>
      <c r="D192" s="23"/>
      <c r="E192" s="23"/>
      <c r="F192" s="23"/>
      <c r="G192" s="23"/>
      <c r="H192" s="95"/>
      <c r="I192" s="95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</row>
    <row r="193" spans="1:36" ht="15.75" customHeight="1" x14ac:dyDescent="0.3">
      <c r="A193" s="23"/>
      <c r="B193" s="23"/>
      <c r="C193" s="23"/>
      <c r="D193" s="23"/>
      <c r="E193" s="23"/>
      <c r="F193" s="23"/>
      <c r="G193" s="23"/>
      <c r="H193" s="95"/>
      <c r="I193" s="95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</row>
    <row r="194" spans="1:36" ht="15.75" customHeight="1" x14ac:dyDescent="0.3">
      <c r="A194" s="23"/>
      <c r="B194" s="23"/>
      <c r="C194" s="23"/>
      <c r="D194" s="23"/>
      <c r="E194" s="23"/>
      <c r="F194" s="23"/>
      <c r="G194" s="23"/>
      <c r="H194" s="95"/>
      <c r="I194" s="95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</row>
    <row r="195" spans="1:36" ht="15.75" customHeight="1" x14ac:dyDescent="0.3">
      <c r="A195" s="23"/>
      <c r="B195" s="23"/>
      <c r="C195" s="23"/>
      <c r="D195" s="23"/>
      <c r="E195" s="23"/>
      <c r="F195" s="23"/>
      <c r="G195" s="23"/>
      <c r="H195" s="95"/>
      <c r="I195" s="95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</row>
    <row r="196" spans="1:36" ht="15.75" customHeight="1" x14ac:dyDescent="0.3">
      <c r="A196" s="23"/>
      <c r="B196" s="23"/>
      <c r="C196" s="23"/>
      <c r="D196" s="23"/>
      <c r="E196" s="23"/>
      <c r="F196" s="23"/>
      <c r="G196" s="23"/>
      <c r="H196" s="95"/>
      <c r="I196" s="95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</row>
    <row r="197" spans="1:36" ht="15.75" customHeight="1" x14ac:dyDescent="0.3">
      <c r="A197" s="23"/>
      <c r="B197" s="23"/>
      <c r="C197" s="23"/>
      <c r="D197" s="23"/>
      <c r="E197" s="23"/>
      <c r="F197" s="23"/>
      <c r="G197" s="23"/>
      <c r="H197" s="95"/>
      <c r="I197" s="95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</row>
    <row r="198" spans="1:36" ht="15.75" customHeight="1" x14ac:dyDescent="0.3">
      <c r="A198" s="23"/>
      <c r="B198" s="23"/>
      <c r="C198" s="23"/>
      <c r="D198" s="23"/>
      <c r="E198" s="23"/>
      <c r="F198" s="23"/>
      <c r="G198" s="23"/>
      <c r="H198" s="95"/>
      <c r="I198" s="95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spans="1:36" ht="15.75" customHeight="1" x14ac:dyDescent="0.3">
      <c r="A199" s="23"/>
      <c r="B199" s="23"/>
      <c r="C199" s="23"/>
      <c r="D199" s="23"/>
      <c r="E199" s="23"/>
      <c r="F199" s="23"/>
      <c r="G199" s="23"/>
      <c r="H199" s="95"/>
      <c r="I199" s="95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spans="1:36" ht="15.75" customHeight="1" x14ac:dyDescent="0.3">
      <c r="A200" s="23"/>
      <c r="B200" s="23"/>
      <c r="C200" s="23"/>
      <c r="D200" s="23"/>
      <c r="E200" s="23"/>
      <c r="F200" s="23"/>
      <c r="G200" s="23"/>
      <c r="H200" s="95"/>
      <c r="I200" s="95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spans="1:36" ht="15.75" customHeight="1" x14ac:dyDescent="0.3">
      <c r="A201" s="23"/>
      <c r="B201" s="23"/>
      <c r="C201" s="23"/>
      <c r="D201" s="23"/>
      <c r="E201" s="23"/>
      <c r="F201" s="23"/>
      <c r="G201" s="23"/>
      <c r="H201" s="95"/>
      <c r="I201" s="95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ht="15.75" customHeight="1" x14ac:dyDescent="0.3">
      <c r="A202" s="23"/>
      <c r="B202" s="23"/>
      <c r="C202" s="23"/>
      <c r="D202" s="23"/>
      <c r="E202" s="23"/>
      <c r="F202" s="23"/>
      <c r="G202" s="23"/>
      <c r="H202" s="95"/>
      <c r="I202" s="95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spans="1:36" ht="15.75" customHeight="1" x14ac:dyDescent="0.3">
      <c r="A203" s="23"/>
      <c r="B203" s="23"/>
      <c r="C203" s="23"/>
      <c r="D203" s="23"/>
      <c r="E203" s="23"/>
      <c r="F203" s="23"/>
      <c r="G203" s="23"/>
      <c r="H203" s="95"/>
      <c r="I203" s="95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spans="1:36" ht="15.75" customHeight="1" x14ac:dyDescent="0.3">
      <c r="A204" s="23"/>
      <c r="B204" s="23"/>
      <c r="C204" s="23"/>
      <c r="D204" s="23"/>
      <c r="E204" s="23"/>
      <c r="F204" s="23"/>
      <c r="G204" s="23"/>
      <c r="H204" s="95"/>
      <c r="I204" s="95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ht="15.75" customHeight="1" x14ac:dyDescent="0.3">
      <c r="A205" s="23"/>
      <c r="B205" s="23"/>
      <c r="C205" s="23"/>
      <c r="D205" s="23"/>
      <c r="E205" s="23"/>
      <c r="F205" s="23"/>
      <c r="G205" s="23"/>
      <c r="H205" s="95"/>
      <c r="I205" s="95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spans="1:36" ht="15.75" customHeight="1" x14ac:dyDescent="0.3">
      <c r="A206" s="23"/>
      <c r="B206" s="23"/>
      <c r="C206" s="23"/>
      <c r="D206" s="23"/>
      <c r="E206" s="23"/>
      <c r="F206" s="23"/>
      <c r="G206" s="23"/>
      <c r="H206" s="95"/>
      <c r="I206" s="95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spans="1:36" ht="15.75" customHeight="1" x14ac:dyDescent="0.3">
      <c r="A207" s="23"/>
      <c r="B207" s="23"/>
      <c r="C207" s="23"/>
      <c r="D207" s="23"/>
      <c r="E207" s="23"/>
      <c r="F207" s="23"/>
      <c r="G207" s="23"/>
      <c r="H207" s="95"/>
      <c r="I207" s="95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ht="15.75" customHeight="1" x14ac:dyDescent="0.3">
      <c r="A208" s="23"/>
      <c r="B208" s="23"/>
      <c r="C208" s="23"/>
      <c r="D208" s="23"/>
      <c r="E208" s="23"/>
      <c r="F208" s="23"/>
      <c r="G208" s="23"/>
      <c r="H208" s="95"/>
      <c r="I208" s="95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spans="1:36" ht="15.75" customHeight="1" x14ac:dyDescent="0.3">
      <c r="A209" s="23"/>
      <c r="B209" s="23"/>
      <c r="C209" s="23"/>
      <c r="D209" s="23"/>
      <c r="E209" s="23"/>
      <c r="F209" s="23"/>
      <c r="G209" s="23"/>
      <c r="H209" s="95"/>
      <c r="I209" s="95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spans="1:36" ht="15.75" customHeight="1" x14ac:dyDescent="0.3">
      <c r="A210" s="23"/>
      <c r="B210" s="23"/>
      <c r="C210" s="23"/>
      <c r="D210" s="23"/>
      <c r="E210" s="23"/>
      <c r="F210" s="23"/>
      <c r="G210" s="23"/>
      <c r="H210" s="95"/>
      <c r="I210" s="95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ht="15.75" customHeight="1" x14ac:dyDescent="0.3">
      <c r="A211" s="23"/>
      <c r="B211" s="23"/>
      <c r="C211" s="23"/>
      <c r="D211" s="23"/>
      <c r="E211" s="23"/>
      <c r="F211" s="23"/>
      <c r="G211" s="23"/>
      <c r="H211" s="95"/>
      <c r="I211" s="95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spans="1:36" ht="15.75" customHeight="1" x14ac:dyDescent="0.3">
      <c r="A212" s="23"/>
      <c r="B212" s="23"/>
      <c r="C212" s="23"/>
      <c r="D212" s="23"/>
      <c r="E212" s="23"/>
      <c r="F212" s="23"/>
      <c r="G212" s="23"/>
      <c r="H212" s="95"/>
      <c r="I212" s="95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spans="1:36" ht="15.75" customHeight="1" x14ac:dyDescent="0.3">
      <c r="A213" s="23"/>
      <c r="B213" s="23"/>
      <c r="C213" s="23"/>
      <c r="D213" s="23"/>
      <c r="E213" s="23"/>
      <c r="F213" s="23"/>
      <c r="G213" s="23"/>
      <c r="H213" s="95"/>
      <c r="I213" s="95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ht="15.75" customHeight="1" x14ac:dyDescent="0.3">
      <c r="A214" s="23"/>
      <c r="B214" s="23"/>
      <c r="C214" s="23"/>
      <c r="D214" s="23"/>
      <c r="E214" s="23"/>
      <c r="F214" s="23"/>
      <c r="G214" s="23"/>
      <c r="H214" s="95"/>
      <c r="I214" s="95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spans="1:36" ht="15.75" customHeight="1" x14ac:dyDescent="0.3">
      <c r="A215" s="23"/>
      <c r="B215" s="23"/>
      <c r="C215" s="23"/>
      <c r="D215" s="23"/>
      <c r="E215" s="23"/>
      <c r="F215" s="23"/>
      <c r="G215" s="23"/>
      <c r="H215" s="95"/>
      <c r="I215" s="95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spans="1:36" ht="15.75" customHeight="1" x14ac:dyDescent="0.3">
      <c r="A216" s="23"/>
      <c r="B216" s="23"/>
      <c r="C216" s="23"/>
      <c r="D216" s="23"/>
      <c r="E216" s="23"/>
      <c r="F216" s="23"/>
      <c r="G216" s="23"/>
      <c r="H216" s="95"/>
      <c r="I216" s="95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ht="15.75" customHeight="1" x14ac:dyDescent="0.3">
      <c r="A217" s="23"/>
      <c r="B217" s="23"/>
      <c r="C217" s="23"/>
      <c r="D217" s="23"/>
      <c r="E217" s="23"/>
      <c r="F217" s="23"/>
      <c r="G217" s="23"/>
      <c r="H217" s="95"/>
      <c r="I217" s="95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spans="1:36" ht="15.75" customHeight="1" x14ac:dyDescent="0.3">
      <c r="A218" s="23"/>
      <c r="B218" s="23"/>
      <c r="C218" s="23"/>
      <c r="D218" s="23"/>
      <c r="E218" s="23"/>
      <c r="F218" s="23"/>
      <c r="G218" s="23"/>
      <c r="H218" s="95"/>
      <c r="I218" s="95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spans="1:36" ht="15.75" customHeight="1" x14ac:dyDescent="0.3">
      <c r="A219" s="23"/>
      <c r="B219" s="23"/>
      <c r="C219" s="23"/>
      <c r="D219" s="23"/>
      <c r="E219" s="23"/>
      <c r="F219" s="23"/>
      <c r="G219" s="23"/>
      <c r="H219" s="95"/>
      <c r="I219" s="95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ht="15.75" customHeight="1" x14ac:dyDescent="0.3">
      <c r="A220" s="23"/>
      <c r="B220" s="23"/>
      <c r="C220" s="23"/>
      <c r="D220" s="23"/>
      <c r="E220" s="23"/>
      <c r="F220" s="23"/>
      <c r="G220" s="23"/>
      <c r="H220" s="95"/>
      <c r="I220" s="95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spans="1:36" ht="15.75" customHeight="1" x14ac:dyDescent="0.3">
      <c r="A221" s="23"/>
      <c r="B221" s="23"/>
      <c r="C221" s="23"/>
      <c r="D221" s="23"/>
      <c r="E221" s="23"/>
      <c r="F221" s="23"/>
      <c r="G221" s="23"/>
      <c r="H221" s="95"/>
      <c r="I221" s="95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spans="1:36" ht="15.75" customHeight="1" x14ac:dyDescent="0.3">
      <c r="A222" s="23"/>
      <c r="B222" s="23"/>
      <c r="C222" s="23"/>
      <c r="D222" s="23"/>
      <c r="E222" s="23"/>
      <c r="F222" s="23"/>
      <c r="G222" s="23"/>
      <c r="H222" s="95"/>
      <c r="I222" s="95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ht="15.75" customHeight="1" x14ac:dyDescent="0.3">
      <c r="A223" s="23"/>
      <c r="B223" s="23"/>
      <c r="C223" s="23"/>
      <c r="D223" s="23"/>
      <c r="E223" s="23"/>
      <c r="F223" s="23"/>
      <c r="G223" s="23"/>
      <c r="H223" s="95"/>
      <c r="I223" s="95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spans="1:36" ht="15.75" customHeight="1" x14ac:dyDescent="0.3">
      <c r="A224" s="23"/>
      <c r="B224" s="23"/>
      <c r="C224" s="23"/>
      <c r="D224" s="23"/>
      <c r="E224" s="23"/>
      <c r="F224" s="23"/>
      <c r="G224" s="23"/>
      <c r="H224" s="95"/>
      <c r="I224" s="95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spans="1:36" ht="15.75" customHeight="1" x14ac:dyDescent="0.3">
      <c r="A225" s="23"/>
      <c r="B225" s="23"/>
      <c r="C225" s="23"/>
      <c r="D225" s="23"/>
      <c r="E225" s="23"/>
      <c r="F225" s="23"/>
      <c r="G225" s="23"/>
      <c r="H225" s="95"/>
      <c r="I225" s="95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spans="1:36" ht="15.75" customHeight="1" x14ac:dyDescent="0.3">
      <c r="A226" s="23"/>
      <c r="B226" s="23"/>
      <c r="C226" s="23"/>
      <c r="D226" s="23"/>
      <c r="E226" s="23"/>
      <c r="F226" s="23"/>
      <c r="G226" s="23"/>
      <c r="H226" s="95"/>
      <c r="I226" s="95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spans="1:36" ht="15.75" customHeight="1" x14ac:dyDescent="0.3">
      <c r="A227" s="23"/>
      <c r="B227" s="23"/>
      <c r="C227" s="23"/>
      <c r="D227" s="23"/>
      <c r="E227" s="23"/>
      <c r="F227" s="23"/>
      <c r="G227" s="23"/>
      <c r="H227" s="95"/>
      <c r="I227" s="95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spans="1:36" ht="15.75" customHeight="1" x14ac:dyDescent="0.3">
      <c r="A228" s="23"/>
      <c r="B228" s="23"/>
      <c r="C228" s="23"/>
      <c r="D228" s="23"/>
      <c r="E228" s="23"/>
      <c r="F228" s="23"/>
      <c r="G228" s="23"/>
      <c r="H228" s="95"/>
      <c r="I228" s="95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spans="1:36" ht="15.75" customHeight="1" x14ac:dyDescent="0.3">
      <c r="A229" s="23"/>
      <c r="B229" s="23"/>
      <c r="C229" s="23"/>
      <c r="D229" s="23"/>
      <c r="E229" s="23"/>
      <c r="F229" s="23"/>
      <c r="G229" s="23"/>
      <c r="H229" s="95"/>
      <c r="I229" s="95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spans="1:36" ht="15.75" customHeight="1" x14ac:dyDescent="0.3">
      <c r="A230" s="23"/>
      <c r="B230" s="23"/>
      <c r="C230" s="23"/>
      <c r="D230" s="23"/>
      <c r="E230" s="23"/>
      <c r="F230" s="23"/>
      <c r="G230" s="23"/>
      <c r="H230" s="95"/>
      <c r="I230" s="95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spans="1:36" ht="15.75" customHeight="1" x14ac:dyDescent="0.3">
      <c r="A231" s="23"/>
      <c r="B231" s="23"/>
      <c r="C231" s="23"/>
      <c r="D231" s="23"/>
      <c r="E231" s="23"/>
      <c r="F231" s="23"/>
      <c r="G231" s="23"/>
      <c r="H231" s="95"/>
      <c r="I231" s="95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spans="1:36" ht="15.75" customHeight="1" x14ac:dyDescent="0.3">
      <c r="A232" s="23"/>
      <c r="B232" s="23"/>
      <c r="C232" s="23"/>
      <c r="D232" s="23"/>
      <c r="E232" s="23"/>
      <c r="F232" s="23"/>
      <c r="G232" s="23"/>
      <c r="H232" s="95"/>
      <c r="I232" s="95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spans="1:36" ht="15.75" customHeight="1" x14ac:dyDescent="0.3">
      <c r="A233" s="23"/>
      <c r="B233" s="23"/>
      <c r="C233" s="23"/>
      <c r="D233" s="23"/>
      <c r="E233" s="23"/>
      <c r="F233" s="23"/>
      <c r="G233" s="23"/>
      <c r="H233" s="95"/>
      <c r="I233" s="95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spans="1:36" ht="15.75" customHeight="1" x14ac:dyDescent="0.3">
      <c r="A234" s="23"/>
      <c r="B234" s="23"/>
      <c r="C234" s="23"/>
      <c r="D234" s="23"/>
      <c r="E234" s="23"/>
      <c r="F234" s="23"/>
      <c r="G234" s="23"/>
      <c r="H234" s="95"/>
      <c r="I234" s="95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spans="1:36" ht="15.75" customHeight="1" x14ac:dyDescent="0.3">
      <c r="A235" s="23"/>
      <c r="B235" s="23"/>
      <c r="C235" s="23"/>
      <c r="D235" s="23"/>
      <c r="E235" s="23"/>
      <c r="F235" s="23"/>
      <c r="G235" s="23"/>
      <c r="H235" s="95"/>
      <c r="I235" s="95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spans="1:36" ht="15.75" customHeight="1" x14ac:dyDescent="0.3">
      <c r="A236" s="23"/>
      <c r="B236" s="23"/>
      <c r="C236" s="23"/>
      <c r="D236" s="23"/>
      <c r="E236" s="23"/>
      <c r="F236" s="23"/>
      <c r="G236" s="23"/>
      <c r="H236" s="95"/>
      <c r="I236" s="95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spans="1:36" ht="15.75" customHeight="1" x14ac:dyDescent="0.3">
      <c r="A237" s="23"/>
      <c r="B237" s="23"/>
      <c r="C237" s="23"/>
      <c r="D237" s="23"/>
      <c r="E237" s="23"/>
      <c r="F237" s="23"/>
      <c r="G237" s="23"/>
      <c r="H237" s="95"/>
      <c r="I237" s="95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spans="1:36" ht="15.75" customHeight="1" x14ac:dyDescent="0.3">
      <c r="A238" s="23"/>
      <c r="B238" s="23"/>
      <c r="C238" s="23"/>
      <c r="D238" s="23"/>
      <c r="E238" s="23"/>
      <c r="F238" s="23"/>
      <c r="G238" s="23"/>
      <c r="H238" s="95"/>
      <c r="I238" s="95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spans="1:36" ht="15.75" customHeight="1" x14ac:dyDescent="0.3">
      <c r="A239" s="23"/>
      <c r="B239" s="23"/>
      <c r="C239" s="23"/>
      <c r="D239" s="23"/>
      <c r="E239" s="23"/>
      <c r="F239" s="23"/>
      <c r="G239" s="23"/>
      <c r="H239" s="95"/>
      <c r="I239" s="95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spans="1:36" ht="15.75" customHeight="1" x14ac:dyDescent="0.3">
      <c r="A240" s="23"/>
      <c r="B240" s="23"/>
      <c r="C240" s="23"/>
      <c r="D240" s="23"/>
      <c r="E240" s="23"/>
      <c r="F240" s="23"/>
      <c r="G240" s="23"/>
      <c r="H240" s="95"/>
      <c r="I240" s="95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spans="1:36" ht="15.75" customHeight="1" x14ac:dyDescent="0.3">
      <c r="A241" s="23"/>
      <c r="B241" s="23"/>
      <c r="C241" s="23"/>
      <c r="D241" s="23"/>
      <c r="E241" s="23"/>
      <c r="F241" s="23"/>
      <c r="G241" s="23"/>
      <c r="H241" s="95"/>
      <c r="I241" s="95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</row>
    <row r="242" spans="1:36" ht="15.75" customHeight="1" x14ac:dyDescent="0.3">
      <c r="A242" s="23"/>
      <c r="B242" s="23"/>
      <c r="C242" s="23"/>
      <c r="D242" s="23"/>
      <c r="E242" s="23"/>
      <c r="F242" s="23"/>
      <c r="G242" s="23"/>
      <c r="H242" s="95"/>
      <c r="I242" s="95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</row>
    <row r="243" spans="1:36" ht="15.75" customHeight="1" x14ac:dyDescent="0.3">
      <c r="A243" s="23"/>
      <c r="B243" s="23"/>
      <c r="C243" s="23"/>
      <c r="D243" s="23"/>
      <c r="E243" s="23"/>
      <c r="F243" s="23"/>
      <c r="G243" s="23"/>
      <c r="H243" s="95"/>
      <c r="I243" s="95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</row>
    <row r="244" spans="1:36" ht="15.75" customHeight="1" x14ac:dyDescent="0.3">
      <c r="A244" s="23"/>
      <c r="B244" s="23"/>
      <c r="C244" s="23"/>
      <c r="D244" s="23"/>
      <c r="E244" s="23"/>
      <c r="F244" s="23"/>
      <c r="G244" s="23"/>
      <c r="H244" s="95"/>
      <c r="I244" s="95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</row>
    <row r="245" spans="1:36" ht="15.75" customHeight="1" x14ac:dyDescent="0.3">
      <c r="A245" s="23"/>
      <c r="B245" s="23"/>
      <c r="C245" s="23"/>
      <c r="D245" s="23"/>
      <c r="E245" s="23"/>
      <c r="F245" s="23"/>
      <c r="G245" s="23"/>
      <c r="H245" s="95"/>
      <c r="I245" s="95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</row>
    <row r="246" spans="1:36" ht="15.75" customHeight="1" x14ac:dyDescent="0.3">
      <c r="A246" s="23"/>
      <c r="B246" s="23"/>
      <c r="C246" s="23"/>
      <c r="D246" s="23"/>
      <c r="E246" s="23"/>
      <c r="F246" s="23"/>
      <c r="G246" s="23"/>
      <c r="H246" s="95"/>
      <c r="I246" s="95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</row>
    <row r="247" spans="1:36" ht="15.75" customHeight="1" x14ac:dyDescent="0.3">
      <c r="A247" s="23"/>
      <c r="B247" s="23"/>
      <c r="C247" s="23"/>
      <c r="D247" s="23"/>
      <c r="E247" s="23"/>
      <c r="F247" s="23"/>
      <c r="G247" s="23"/>
      <c r="H247" s="95"/>
      <c r="I247" s="95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</row>
    <row r="248" spans="1:36" ht="15.75" customHeight="1" x14ac:dyDescent="0.3">
      <c r="A248" s="23"/>
      <c r="B248" s="23"/>
      <c r="C248" s="23"/>
      <c r="D248" s="23"/>
      <c r="E248" s="23"/>
      <c r="F248" s="23"/>
      <c r="G248" s="23"/>
      <c r="H248" s="95"/>
      <c r="I248" s="95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</row>
    <row r="249" spans="1:36" ht="15.75" customHeight="1" x14ac:dyDescent="0.3">
      <c r="A249" s="23"/>
      <c r="B249" s="23"/>
      <c r="C249" s="23"/>
      <c r="D249" s="23"/>
      <c r="E249" s="23"/>
      <c r="F249" s="23"/>
      <c r="G249" s="23"/>
      <c r="H249" s="95"/>
      <c r="I249" s="95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</row>
    <row r="250" spans="1:36" ht="15.75" customHeight="1" x14ac:dyDescent="0.3">
      <c r="A250" s="23"/>
      <c r="B250" s="23"/>
      <c r="C250" s="23"/>
      <c r="D250" s="23"/>
      <c r="E250" s="23"/>
      <c r="F250" s="23"/>
      <c r="G250" s="23"/>
      <c r="H250" s="95"/>
      <c r="I250" s="95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</row>
    <row r="251" spans="1:36" ht="15.75" customHeight="1" x14ac:dyDescent="0.3">
      <c r="A251" s="23"/>
      <c r="B251" s="23"/>
      <c r="C251" s="23"/>
      <c r="D251" s="23"/>
      <c r="E251" s="23"/>
      <c r="F251" s="23"/>
      <c r="G251" s="23"/>
      <c r="H251" s="95"/>
      <c r="I251" s="95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</row>
    <row r="252" spans="1:36" ht="15.75" customHeight="1" x14ac:dyDescent="0.3">
      <c r="A252" s="23"/>
      <c r="B252" s="23"/>
      <c r="C252" s="23"/>
      <c r="D252" s="23"/>
      <c r="E252" s="23"/>
      <c r="F252" s="23"/>
      <c r="G252" s="23"/>
      <c r="H252" s="95"/>
      <c r="I252" s="95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</row>
    <row r="253" spans="1:36" ht="15.75" customHeight="1" x14ac:dyDescent="0.3">
      <c r="A253" s="23"/>
      <c r="B253" s="23"/>
      <c r="C253" s="23"/>
      <c r="D253" s="23"/>
      <c r="E253" s="23"/>
      <c r="F253" s="23"/>
      <c r="G253" s="23"/>
      <c r="H253" s="95"/>
      <c r="I253" s="95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</row>
    <row r="254" spans="1:36" ht="15.75" customHeight="1" x14ac:dyDescent="0.3">
      <c r="A254" s="23"/>
      <c r="B254" s="23"/>
      <c r="C254" s="23"/>
      <c r="D254" s="23"/>
      <c r="E254" s="23"/>
      <c r="F254" s="23"/>
      <c r="G254" s="23"/>
      <c r="H254" s="95"/>
      <c r="I254" s="95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</row>
    <row r="255" spans="1:36" ht="15.75" customHeight="1" x14ac:dyDescent="0.3">
      <c r="A255" s="23"/>
      <c r="B255" s="23"/>
      <c r="C255" s="23"/>
      <c r="D255" s="23"/>
      <c r="E255" s="23"/>
      <c r="F255" s="23"/>
      <c r="G255" s="23"/>
      <c r="H255" s="95"/>
      <c r="I255" s="95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</row>
    <row r="256" spans="1:36" ht="15.75" customHeight="1" x14ac:dyDescent="0.3">
      <c r="A256" s="23"/>
      <c r="B256" s="23"/>
      <c r="C256" s="23"/>
      <c r="D256" s="23"/>
      <c r="E256" s="23"/>
      <c r="F256" s="23"/>
      <c r="G256" s="23"/>
      <c r="H256" s="95"/>
      <c r="I256" s="95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</row>
    <row r="257" spans="1:36" ht="15.75" customHeight="1" x14ac:dyDescent="0.3">
      <c r="A257" s="23"/>
      <c r="B257" s="23"/>
      <c r="C257" s="23"/>
      <c r="D257" s="23"/>
      <c r="E257" s="23"/>
      <c r="F257" s="23"/>
      <c r="G257" s="23"/>
      <c r="H257" s="95"/>
      <c r="I257" s="95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</row>
    <row r="258" spans="1:36" ht="15.75" customHeight="1" x14ac:dyDescent="0.3">
      <c r="A258" s="23"/>
      <c r="B258" s="23"/>
      <c r="C258" s="23"/>
      <c r="D258" s="23"/>
      <c r="E258" s="23"/>
      <c r="F258" s="23"/>
      <c r="G258" s="23"/>
      <c r="H258" s="95"/>
      <c r="I258" s="95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</row>
    <row r="259" spans="1:36" ht="15.75" customHeight="1" x14ac:dyDescent="0.3">
      <c r="A259" s="23"/>
      <c r="B259" s="23"/>
      <c r="C259" s="23"/>
      <c r="D259" s="23"/>
      <c r="E259" s="23"/>
      <c r="F259" s="23"/>
      <c r="G259" s="23"/>
      <c r="H259" s="95"/>
      <c r="I259" s="95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</row>
    <row r="260" spans="1:36" ht="15.75" customHeight="1" x14ac:dyDescent="0.3">
      <c r="A260" s="23"/>
      <c r="B260" s="23"/>
      <c r="C260" s="23"/>
      <c r="D260" s="23"/>
      <c r="E260" s="23"/>
      <c r="F260" s="23"/>
      <c r="G260" s="23"/>
      <c r="H260" s="95"/>
      <c r="I260" s="95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</row>
    <row r="261" spans="1:36" ht="15.75" customHeight="1" x14ac:dyDescent="0.3">
      <c r="A261" s="23"/>
      <c r="B261" s="23"/>
      <c r="C261" s="23"/>
      <c r="D261" s="23"/>
      <c r="E261" s="23"/>
      <c r="F261" s="23"/>
      <c r="G261" s="23"/>
      <c r="H261" s="95"/>
      <c r="I261" s="95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</row>
    <row r="262" spans="1:36" ht="15.75" customHeight="1" x14ac:dyDescent="0.3">
      <c r="A262" s="23"/>
      <c r="B262" s="23"/>
      <c r="C262" s="23"/>
      <c r="D262" s="23"/>
      <c r="E262" s="23"/>
      <c r="F262" s="23"/>
      <c r="G262" s="23"/>
      <c r="H262" s="95"/>
      <c r="I262" s="95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</row>
    <row r="263" spans="1:36" ht="15.75" customHeight="1" x14ac:dyDescent="0.3">
      <c r="A263" s="23"/>
      <c r="B263" s="23"/>
      <c r="C263" s="23"/>
      <c r="D263" s="23"/>
      <c r="E263" s="23"/>
      <c r="F263" s="23"/>
      <c r="G263" s="23"/>
      <c r="H263" s="95"/>
      <c r="I263" s="95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</row>
    <row r="264" spans="1:36" ht="15.75" customHeight="1" x14ac:dyDescent="0.3">
      <c r="A264" s="23"/>
      <c r="B264" s="23"/>
      <c r="C264" s="23"/>
      <c r="D264" s="23"/>
      <c r="E264" s="23"/>
      <c r="F264" s="23"/>
      <c r="G264" s="23"/>
      <c r="H264" s="95"/>
      <c r="I264" s="95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</row>
    <row r="265" spans="1:36" ht="15.75" customHeight="1" x14ac:dyDescent="0.3">
      <c r="A265" s="23"/>
      <c r="B265" s="23"/>
      <c r="C265" s="23"/>
      <c r="D265" s="23"/>
      <c r="E265" s="23"/>
      <c r="F265" s="23"/>
      <c r="G265" s="23"/>
      <c r="H265" s="95"/>
      <c r="I265" s="95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</row>
    <row r="266" spans="1:36" ht="15.75" customHeight="1" x14ac:dyDescent="0.3">
      <c r="A266" s="23"/>
      <c r="B266" s="23"/>
      <c r="C266" s="23"/>
      <c r="D266" s="23"/>
      <c r="E266" s="23"/>
      <c r="F266" s="23"/>
      <c r="G266" s="23"/>
      <c r="H266" s="95"/>
      <c r="I266" s="95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</row>
    <row r="267" spans="1:36" ht="15.75" customHeight="1" x14ac:dyDescent="0.3">
      <c r="A267" s="23"/>
      <c r="B267" s="23"/>
      <c r="C267" s="23"/>
      <c r="D267" s="23"/>
      <c r="E267" s="23"/>
      <c r="F267" s="23"/>
      <c r="G267" s="23"/>
      <c r="H267" s="95"/>
      <c r="I267" s="95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8" spans="1:36" ht="15.75" customHeight="1" x14ac:dyDescent="0.3">
      <c r="A268" s="23"/>
      <c r="B268" s="23"/>
      <c r="C268" s="23"/>
      <c r="D268" s="23"/>
      <c r="E268" s="23"/>
      <c r="F268" s="23"/>
      <c r="G268" s="23"/>
      <c r="H268" s="95"/>
      <c r="I268" s="95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</row>
    <row r="269" spans="1:36" ht="15.75" customHeight="1" x14ac:dyDescent="0.3">
      <c r="A269" s="23"/>
      <c r="B269" s="23"/>
      <c r="C269" s="23"/>
      <c r="D269" s="23"/>
      <c r="E269" s="23"/>
      <c r="F269" s="23"/>
      <c r="G269" s="23"/>
      <c r="H269" s="95"/>
      <c r="I269" s="95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</row>
    <row r="270" spans="1:36" ht="15.75" customHeight="1" x14ac:dyDescent="0.3">
      <c r="A270" s="23"/>
      <c r="B270" s="23"/>
      <c r="C270" s="23"/>
      <c r="D270" s="23"/>
      <c r="E270" s="23"/>
      <c r="F270" s="23"/>
      <c r="G270" s="23"/>
      <c r="H270" s="95"/>
      <c r="I270" s="95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</row>
    <row r="271" spans="1:36" ht="15.75" customHeight="1" x14ac:dyDescent="0.3">
      <c r="A271" s="23"/>
      <c r="B271" s="23"/>
      <c r="C271" s="23"/>
      <c r="D271" s="23"/>
      <c r="E271" s="23"/>
      <c r="F271" s="23"/>
      <c r="G271" s="23"/>
      <c r="H271" s="95"/>
      <c r="I271" s="95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</row>
    <row r="272" spans="1:36" ht="15.75" customHeight="1" x14ac:dyDescent="0.3">
      <c r="A272" s="23"/>
      <c r="B272" s="23"/>
      <c r="C272" s="23"/>
      <c r="D272" s="23"/>
      <c r="E272" s="23"/>
      <c r="F272" s="23"/>
      <c r="G272" s="23"/>
      <c r="H272" s="95"/>
      <c r="I272" s="95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</row>
    <row r="273" spans="1:36" ht="15.75" customHeight="1" x14ac:dyDescent="0.3">
      <c r="A273" s="23"/>
      <c r="B273" s="23"/>
      <c r="C273" s="23"/>
      <c r="D273" s="23"/>
      <c r="E273" s="23"/>
      <c r="F273" s="23"/>
      <c r="G273" s="23"/>
      <c r="H273" s="95"/>
      <c r="I273" s="95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</row>
    <row r="274" spans="1:36" ht="15.75" customHeight="1" x14ac:dyDescent="0.3">
      <c r="A274" s="23"/>
      <c r="B274" s="23"/>
      <c r="C274" s="23"/>
      <c r="D274" s="23"/>
      <c r="E274" s="23"/>
      <c r="F274" s="23"/>
      <c r="G274" s="23"/>
      <c r="H274" s="95"/>
      <c r="I274" s="95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</row>
    <row r="275" spans="1:36" ht="15.75" customHeight="1" x14ac:dyDescent="0.3">
      <c r="A275" s="23"/>
      <c r="B275" s="23"/>
      <c r="C275" s="23"/>
      <c r="D275" s="23"/>
      <c r="E275" s="23"/>
      <c r="F275" s="23"/>
      <c r="G275" s="23"/>
      <c r="H275" s="95"/>
      <c r="I275" s="95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</row>
    <row r="276" spans="1:36" ht="15.75" customHeight="1" x14ac:dyDescent="0.3">
      <c r="A276" s="23"/>
      <c r="B276" s="23"/>
      <c r="C276" s="23"/>
      <c r="D276" s="23"/>
      <c r="E276" s="23"/>
      <c r="F276" s="23"/>
      <c r="G276" s="23"/>
      <c r="H276" s="95"/>
      <c r="I276" s="95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</row>
    <row r="277" spans="1:36" ht="15.75" customHeight="1" x14ac:dyDescent="0.3">
      <c r="A277" s="23"/>
      <c r="B277" s="23"/>
      <c r="C277" s="23"/>
      <c r="D277" s="23"/>
      <c r="E277" s="23"/>
      <c r="F277" s="23"/>
      <c r="G277" s="23"/>
      <c r="H277" s="95"/>
      <c r="I277" s="95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</row>
    <row r="278" spans="1:36" ht="15.75" customHeight="1" x14ac:dyDescent="0.3">
      <c r="A278" s="23"/>
      <c r="B278" s="23"/>
      <c r="C278" s="23"/>
      <c r="D278" s="23"/>
      <c r="E278" s="23"/>
      <c r="F278" s="23"/>
      <c r="G278" s="23"/>
      <c r="H278" s="95"/>
      <c r="I278" s="95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</row>
    <row r="279" spans="1:36" ht="15.75" customHeight="1" x14ac:dyDescent="0.3">
      <c r="A279" s="23"/>
      <c r="B279" s="23"/>
      <c r="C279" s="23"/>
      <c r="D279" s="23"/>
      <c r="E279" s="23"/>
      <c r="F279" s="23"/>
      <c r="G279" s="23"/>
      <c r="H279" s="95"/>
      <c r="I279" s="95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</row>
    <row r="280" spans="1:36" ht="15.75" customHeight="1" x14ac:dyDescent="0.3">
      <c r="A280" s="23"/>
      <c r="B280" s="23"/>
      <c r="C280" s="23"/>
      <c r="D280" s="23"/>
      <c r="E280" s="23"/>
      <c r="F280" s="23"/>
      <c r="G280" s="23"/>
      <c r="H280" s="95"/>
      <c r="I280" s="95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</row>
    <row r="281" spans="1:36" ht="15.75" customHeight="1" x14ac:dyDescent="0.3">
      <c r="A281" s="23"/>
      <c r="B281" s="23"/>
      <c r="C281" s="23"/>
      <c r="D281" s="23"/>
      <c r="E281" s="23"/>
      <c r="F281" s="23"/>
      <c r="G281" s="23"/>
      <c r="H281" s="95"/>
      <c r="I281" s="95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</row>
    <row r="282" spans="1:36" ht="15.75" customHeight="1" x14ac:dyDescent="0.3">
      <c r="A282" s="23"/>
      <c r="B282" s="23"/>
      <c r="C282" s="23"/>
      <c r="D282" s="23"/>
      <c r="E282" s="23"/>
      <c r="F282" s="23"/>
      <c r="G282" s="23"/>
      <c r="H282" s="95"/>
      <c r="I282" s="95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</row>
    <row r="283" spans="1:36" ht="15.75" customHeight="1" x14ac:dyDescent="0.3">
      <c r="A283" s="23"/>
      <c r="B283" s="23"/>
      <c r="C283" s="23"/>
      <c r="D283" s="23"/>
      <c r="E283" s="23"/>
      <c r="F283" s="23"/>
      <c r="G283" s="23"/>
      <c r="H283" s="95"/>
      <c r="I283" s="95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</row>
    <row r="284" spans="1:36" ht="15.75" customHeight="1" x14ac:dyDescent="0.3">
      <c r="A284" s="23"/>
      <c r="B284" s="23"/>
      <c r="C284" s="23"/>
      <c r="D284" s="23"/>
      <c r="E284" s="23"/>
      <c r="F284" s="23"/>
      <c r="G284" s="23"/>
      <c r="H284" s="95"/>
      <c r="I284" s="95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</row>
    <row r="285" spans="1:36" ht="15.75" customHeight="1" x14ac:dyDescent="0.3">
      <c r="A285" s="23"/>
      <c r="B285" s="23"/>
      <c r="C285" s="23"/>
      <c r="D285" s="23"/>
      <c r="E285" s="23"/>
      <c r="F285" s="23"/>
      <c r="G285" s="23"/>
      <c r="H285" s="95"/>
      <c r="I285" s="95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</row>
    <row r="286" spans="1:36" ht="15.75" customHeight="1" x14ac:dyDescent="0.3">
      <c r="A286" s="23"/>
      <c r="B286" s="23"/>
      <c r="C286" s="23"/>
      <c r="D286" s="23"/>
      <c r="E286" s="23"/>
      <c r="F286" s="23"/>
      <c r="G286" s="23"/>
      <c r="H286" s="95"/>
      <c r="I286" s="95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</row>
    <row r="287" spans="1:36" ht="15.75" customHeight="1" x14ac:dyDescent="0.3">
      <c r="A287" s="23"/>
      <c r="B287" s="23"/>
      <c r="C287" s="23"/>
      <c r="D287" s="23"/>
      <c r="E287" s="23"/>
      <c r="F287" s="23"/>
      <c r="G287" s="23"/>
      <c r="H287" s="95"/>
      <c r="I287" s="95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</row>
    <row r="288" spans="1:36" ht="15.75" customHeight="1" x14ac:dyDescent="0.3">
      <c r="A288" s="23"/>
      <c r="B288" s="23"/>
      <c r="C288" s="23"/>
      <c r="D288" s="23"/>
      <c r="E288" s="23"/>
      <c r="F288" s="23"/>
      <c r="G288" s="23"/>
      <c r="H288" s="95"/>
      <c r="I288" s="95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</row>
    <row r="289" spans="1:36" ht="15.75" customHeight="1" x14ac:dyDescent="0.3">
      <c r="A289" s="23"/>
      <c r="B289" s="23"/>
      <c r="C289" s="23"/>
      <c r="D289" s="23"/>
      <c r="E289" s="23"/>
      <c r="F289" s="23"/>
      <c r="G289" s="23"/>
      <c r="H289" s="95"/>
      <c r="I289" s="95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</row>
    <row r="290" spans="1:36" ht="15.75" customHeight="1" x14ac:dyDescent="0.3">
      <c r="A290" s="23"/>
      <c r="B290" s="23"/>
      <c r="C290" s="23"/>
      <c r="D290" s="23"/>
      <c r="E290" s="23"/>
      <c r="F290" s="23"/>
      <c r="G290" s="23"/>
      <c r="H290" s="95"/>
      <c r="I290" s="95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</row>
    <row r="291" spans="1:36" ht="15.75" customHeight="1" x14ac:dyDescent="0.3">
      <c r="A291" s="23"/>
      <c r="B291" s="23"/>
      <c r="C291" s="23"/>
      <c r="D291" s="23"/>
      <c r="E291" s="23"/>
      <c r="F291" s="23"/>
      <c r="G291" s="23"/>
      <c r="H291" s="95"/>
      <c r="I291" s="95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</row>
    <row r="292" spans="1:36" ht="15.75" customHeight="1" x14ac:dyDescent="0.3">
      <c r="A292" s="23"/>
      <c r="B292" s="23"/>
      <c r="C292" s="23"/>
      <c r="D292" s="23"/>
      <c r="E292" s="23"/>
      <c r="F292" s="23"/>
      <c r="G292" s="23"/>
      <c r="H292" s="95"/>
      <c r="I292" s="95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</row>
    <row r="293" spans="1:36" ht="15.75" customHeight="1" x14ac:dyDescent="0.3">
      <c r="A293" s="23"/>
      <c r="B293" s="23"/>
      <c r="C293" s="23"/>
      <c r="D293" s="23"/>
      <c r="E293" s="23"/>
      <c r="F293" s="23"/>
      <c r="G293" s="23"/>
      <c r="H293" s="95"/>
      <c r="I293" s="95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</row>
    <row r="294" spans="1:36" ht="15.75" customHeight="1" x14ac:dyDescent="0.3">
      <c r="A294" s="23"/>
      <c r="B294" s="23"/>
      <c r="C294" s="23"/>
      <c r="D294" s="23"/>
      <c r="E294" s="23"/>
      <c r="F294" s="23"/>
      <c r="G294" s="23"/>
      <c r="H294" s="95"/>
      <c r="I294" s="95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</row>
    <row r="295" spans="1:36" ht="15.75" customHeight="1" x14ac:dyDescent="0.3">
      <c r="A295" s="23"/>
      <c r="B295" s="23"/>
      <c r="C295" s="23"/>
      <c r="D295" s="23"/>
      <c r="E295" s="23"/>
      <c r="F295" s="23"/>
      <c r="G295" s="23"/>
      <c r="H295" s="95"/>
      <c r="I295" s="95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</row>
    <row r="296" spans="1:36" ht="15.75" customHeight="1" x14ac:dyDescent="0.3">
      <c r="A296" s="23"/>
      <c r="B296" s="23"/>
      <c r="C296" s="23"/>
      <c r="D296" s="23"/>
      <c r="E296" s="23"/>
      <c r="F296" s="23"/>
      <c r="G296" s="23"/>
      <c r="H296" s="95"/>
      <c r="I296" s="95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</row>
    <row r="297" spans="1:36" ht="15.75" customHeight="1" x14ac:dyDescent="0.3">
      <c r="A297" s="23"/>
      <c r="B297" s="23"/>
      <c r="C297" s="23"/>
      <c r="D297" s="23"/>
      <c r="E297" s="23"/>
      <c r="F297" s="23"/>
      <c r="G297" s="23"/>
      <c r="H297" s="95"/>
      <c r="I297" s="95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</row>
    <row r="298" spans="1:36" ht="15.75" customHeight="1" x14ac:dyDescent="0.3">
      <c r="A298" s="23"/>
      <c r="B298" s="23"/>
      <c r="C298" s="23"/>
      <c r="D298" s="23"/>
      <c r="E298" s="23"/>
      <c r="F298" s="23"/>
      <c r="G298" s="23"/>
      <c r="H298" s="95"/>
      <c r="I298" s="95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</row>
    <row r="299" spans="1:36" ht="15.75" customHeight="1" x14ac:dyDescent="0.3">
      <c r="A299" s="23"/>
      <c r="B299" s="23"/>
      <c r="C299" s="23"/>
      <c r="D299" s="23"/>
      <c r="E299" s="23"/>
      <c r="F299" s="23"/>
      <c r="G299" s="23"/>
      <c r="H299" s="95"/>
      <c r="I299" s="95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</row>
    <row r="300" spans="1:36" ht="15.75" customHeight="1" x14ac:dyDescent="0.3">
      <c r="A300" s="23"/>
      <c r="B300" s="23"/>
      <c r="C300" s="23"/>
      <c r="D300" s="23"/>
      <c r="E300" s="23"/>
      <c r="F300" s="23"/>
      <c r="G300" s="23"/>
      <c r="H300" s="95"/>
      <c r="I300" s="95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</row>
    <row r="301" spans="1:36" ht="15.75" customHeight="1" x14ac:dyDescent="0.3">
      <c r="A301" s="23"/>
      <c r="B301" s="23"/>
      <c r="C301" s="23"/>
      <c r="D301" s="23"/>
      <c r="E301" s="23"/>
      <c r="F301" s="23"/>
      <c r="G301" s="23"/>
      <c r="H301" s="95"/>
      <c r="I301" s="95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</row>
    <row r="302" spans="1:36" ht="15.75" customHeight="1" x14ac:dyDescent="0.3">
      <c r="A302" s="23"/>
      <c r="B302" s="23"/>
      <c r="C302" s="23"/>
      <c r="D302" s="23"/>
      <c r="E302" s="23"/>
      <c r="F302" s="23"/>
      <c r="G302" s="23"/>
      <c r="H302" s="95"/>
      <c r="I302" s="95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</row>
    <row r="303" spans="1:36" ht="15.75" customHeight="1" x14ac:dyDescent="0.3">
      <c r="A303" s="23"/>
      <c r="B303" s="23"/>
      <c r="C303" s="23"/>
      <c r="D303" s="23"/>
      <c r="E303" s="23"/>
      <c r="F303" s="23"/>
      <c r="G303" s="23"/>
      <c r="H303" s="95"/>
      <c r="I303" s="95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</row>
    <row r="304" spans="1:36" ht="15.75" customHeight="1" x14ac:dyDescent="0.3">
      <c r="A304" s="23"/>
      <c r="B304" s="23"/>
      <c r="C304" s="23"/>
      <c r="D304" s="23"/>
      <c r="E304" s="23"/>
      <c r="F304" s="23"/>
      <c r="G304" s="23"/>
      <c r="H304" s="95"/>
      <c r="I304" s="95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</row>
    <row r="305" spans="1:36" ht="15.75" customHeight="1" x14ac:dyDescent="0.3">
      <c r="A305" s="23"/>
      <c r="B305" s="23"/>
      <c r="C305" s="23"/>
      <c r="D305" s="23"/>
      <c r="E305" s="23"/>
      <c r="F305" s="23"/>
      <c r="G305" s="23"/>
      <c r="H305" s="95"/>
      <c r="I305" s="95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</row>
    <row r="306" spans="1:36" ht="15.75" customHeight="1" x14ac:dyDescent="0.3">
      <c r="A306" s="23"/>
      <c r="B306" s="23"/>
      <c r="C306" s="23"/>
      <c r="D306" s="23"/>
      <c r="E306" s="23"/>
      <c r="F306" s="23"/>
      <c r="G306" s="23"/>
      <c r="H306" s="95"/>
      <c r="I306" s="95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</row>
    <row r="307" spans="1:36" ht="15.75" customHeight="1" x14ac:dyDescent="0.3">
      <c r="A307" s="23"/>
      <c r="B307" s="23"/>
      <c r="C307" s="23"/>
      <c r="D307" s="23"/>
      <c r="E307" s="23"/>
      <c r="F307" s="23"/>
      <c r="G307" s="23"/>
      <c r="H307" s="95"/>
      <c r="I307" s="95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</row>
    <row r="308" spans="1:36" ht="15.75" customHeight="1" x14ac:dyDescent="0.3">
      <c r="A308" s="23"/>
      <c r="B308" s="23"/>
      <c r="C308" s="23"/>
      <c r="D308" s="23"/>
      <c r="E308" s="23"/>
      <c r="F308" s="23"/>
      <c r="G308" s="23"/>
      <c r="H308" s="95"/>
      <c r="I308" s="95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</row>
    <row r="309" spans="1:36" ht="15.75" customHeight="1" x14ac:dyDescent="0.3">
      <c r="A309" s="23"/>
      <c r="B309" s="23"/>
      <c r="C309" s="23"/>
      <c r="D309" s="23"/>
      <c r="E309" s="23"/>
      <c r="F309" s="23"/>
      <c r="G309" s="23"/>
      <c r="H309" s="95"/>
      <c r="I309" s="95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</row>
    <row r="310" spans="1:36" ht="15.75" customHeight="1" x14ac:dyDescent="0.3">
      <c r="A310" s="23"/>
      <c r="B310" s="23"/>
      <c r="C310" s="23"/>
      <c r="D310" s="23"/>
      <c r="E310" s="23"/>
      <c r="F310" s="23"/>
      <c r="G310" s="23"/>
      <c r="H310" s="95"/>
      <c r="I310" s="95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</row>
    <row r="311" spans="1:36" ht="15.75" customHeight="1" x14ac:dyDescent="0.3">
      <c r="A311" s="23"/>
      <c r="B311" s="23"/>
      <c r="C311" s="23"/>
      <c r="D311" s="23"/>
      <c r="E311" s="23"/>
      <c r="F311" s="23"/>
      <c r="G311" s="23"/>
      <c r="H311" s="95"/>
      <c r="I311" s="95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</row>
    <row r="312" spans="1:36" ht="15.75" customHeight="1" x14ac:dyDescent="0.3">
      <c r="A312" s="23"/>
      <c r="B312" s="23"/>
      <c r="C312" s="23"/>
      <c r="D312" s="23"/>
      <c r="E312" s="23"/>
      <c r="F312" s="23"/>
      <c r="G312" s="23"/>
      <c r="H312" s="95"/>
      <c r="I312" s="95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</row>
    <row r="313" spans="1:36" ht="15.75" customHeight="1" x14ac:dyDescent="0.3">
      <c r="A313" s="23"/>
      <c r="B313" s="23"/>
      <c r="C313" s="23"/>
      <c r="D313" s="23"/>
      <c r="E313" s="23"/>
      <c r="F313" s="23"/>
      <c r="G313" s="23"/>
      <c r="H313" s="95"/>
      <c r="I313" s="95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</row>
    <row r="314" spans="1:36" ht="15.75" customHeight="1" x14ac:dyDescent="0.3">
      <c r="A314" s="23"/>
      <c r="B314" s="23"/>
      <c r="C314" s="23"/>
      <c r="D314" s="23"/>
      <c r="E314" s="23"/>
      <c r="F314" s="23"/>
      <c r="G314" s="23"/>
      <c r="H314" s="95"/>
      <c r="I314" s="95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</row>
    <row r="315" spans="1:36" ht="15.75" customHeight="1" x14ac:dyDescent="0.3">
      <c r="A315" s="23"/>
      <c r="B315" s="23"/>
      <c r="C315" s="23"/>
      <c r="D315" s="23"/>
      <c r="E315" s="23"/>
      <c r="F315" s="23"/>
      <c r="G315" s="23"/>
      <c r="H315" s="95"/>
      <c r="I315" s="95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</row>
    <row r="316" spans="1:36" ht="15.75" customHeight="1" x14ac:dyDescent="0.3">
      <c r="A316" s="23"/>
      <c r="B316" s="23"/>
      <c r="C316" s="23"/>
      <c r="D316" s="23"/>
      <c r="E316" s="23"/>
      <c r="F316" s="23"/>
      <c r="G316" s="23"/>
      <c r="H316" s="95"/>
      <c r="I316" s="95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</row>
    <row r="317" spans="1:36" ht="15.75" customHeight="1" x14ac:dyDescent="0.3">
      <c r="A317" s="23"/>
      <c r="B317" s="23"/>
      <c r="C317" s="23"/>
      <c r="D317" s="23"/>
      <c r="E317" s="23"/>
      <c r="F317" s="23"/>
      <c r="G317" s="23"/>
      <c r="H317" s="95"/>
      <c r="I317" s="95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</row>
    <row r="318" spans="1:36" ht="15.75" customHeight="1" x14ac:dyDescent="0.3">
      <c r="A318" s="23"/>
      <c r="B318" s="23"/>
      <c r="C318" s="23"/>
      <c r="D318" s="23"/>
      <c r="E318" s="23"/>
      <c r="F318" s="23"/>
      <c r="G318" s="23"/>
      <c r="H318" s="95"/>
      <c r="I318" s="95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</row>
    <row r="319" spans="1:36" ht="15.75" customHeight="1" x14ac:dyDescent="0.3">
      <c r="A319" s="23"/>
      <c r="B319" s="23"/>
      <c r="C319" s="23"/>
      <c r="D319" s="23"/>
      <c r="E319" s="23"/>
      <c r="F319" s="23"/>
      <c r="G319" s="23"/>
      <c r="H319" s="95"/>
      <c r="I319" s="95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</row>
    <row r="320" spans="1:36" ht="15.75" customHeight="1" x14ac:dyDescent="0.3">
      <c r="A320" s="23"/>
      <c r="B320" s="23"/>
      <c r="C320" s="23"/>
      <c r="D320" s="23"/>
      <c r="E320" s="23"/>
      <c r="F320" s="23"/>
      <c r="G320" s="23"/>
      <c r="H320" s="95"/>
      <c r="I320" s="95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</row>
    <row r="321" spans="1:36" ht="15.75" customHeight="1" x14ac:dyDescent="0.3">
      <c r="A321" s="23"/>
      <c r="B321" s="23"/>
      <c r="C321" s="23"/>
      <c r="D321" s="23"/>
      <c r="E321" s="23"/>
      <c r="F321" s="23"/>
      <c r="G321" s="23"/>
      <c r="H321" s="95"/>
      <c r="I321" s="95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</row>
    <row r="322" spans="1:36" ht="15.75" customHeight="1" x14ac:dyDescent="0.3">
      <c r="A322" s="23"/>
      <c r="B322" s="23"/>
      <c r="C322" s="23"/>
      <c r="D322" s="23"/>
      <c r="E322" s="23"/>
      <c r="F322" s="23"/>
      <c r="G322" s="23"/>
      <c r="H322" s="95"/>
      <c r="I322" s="95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</row>
    <row r="323" spans="1:36" ht="15.75" customHeight="1" x14ac:dyDescent="0.3">
      <c r="A323" s="23"/>
      <c r="B323" s="23"/>
      <c r="C323" s="23"/>
      <c r="D323" s="23"/>
      <c r="E323" s="23"/>
      <c r="F323" s="23"/>
      <c r="G323" s="23"/>
      <c r="H323" s="95"/>
      <c r="I323" s="95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</row>
    <row r="324" spans="1:36" ht="15.75" customHeight="1" x14ac:dyDescent="0.3">
      <c r="A324" s="23"/>
      <c r="B324" s="23"/>
      <c r="C324" s="23"/>
      <c r="D324" s="23"/>
      <c r="E324" s="23"/>
      <c r="F324" s="23"/>
      <c r="G324" s="23"/>
      <c r="H324" s="95"/>
      <c r="I324" s="95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</row>
    <row r="325" spans="1:36" ht="15.75" customHeight="1" x14ac:dyDescent="0.3">
      <c r="A325" s="23"/>
      <c r="B325" s="23"/>
      <c r="C325" s="23"/>
      <c r="D325" s="23"/>
      <c r="E325" s="23"/>
      <c r="F325" s="23"/>
      <c r="G325" s="23"/>
      <c r="H325" s="95"/>
      <c r="I325" s="95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</row>
    <row r="326" spans="1:36" ht="15.75" customHeight="1" x14ac:dyDescent="0.3">
      <c r="A326" s="23"/>
      <c r="B326" s="23"/>
      <c r="C326" s="23"/>
      <c r="D326" s="23"/>
      <c r="E326" s="23"/>
      <c r="F326" s="23"/>
      <c r="G326" s="23"/>
      <c r="H326" s="95"/>
      <c r="I326" s="95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</row>
    <row r="327" spans="1:36" ht="15.75" customHeight="1" x14ac:dyDescent="0.3">
      <c r="A327" s="23"/>
      <c r="B327" s="23"/>
      <c r="C327" s="23"/>
      <c r="D327" s="23"/>
      <c r="E327" s="23"/>
      <c r="F327" s="23"/>
      <c r="G327" s="23"/>
      <c r="H327" s="95"/>
      <c r="I327" s="95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</row>
    <row r="328" spans="1:36" ht="15.75" customHeight="1" x14ac:dyDescent="0.3">
      <c r="A328" s="23"/>
      <c r="B328" s="23"/>
      <c r="C328" s="23"/>
      <c r="D328" s="23"/>
      <c r="E328" s="23"/>
      <c r="F328" s="23"/>
      <c r="G328" s="23"/>
      <c r="H328" s="95"/>
      <c r="I328" s="95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</row>
    <row r="329" spans="1:36" ht="15.75" customHeight="1" x14ac:dyDescent="0.3">
      <c r="A329" s="23"/>
      <c r="B329" s="23"/>
      <c r="C329" s="23"/>
      <c r="D329" s="23"/>
      <c r="E329" s="23"/>
      <c r="F329" s="23"/>
      <c r="G329" s="23"/>
      <c r="H329" s="95"/>
      <c r="I329" s="95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spans="1:36" ht="15.75" customHeight="1" x14ac:dyDescent="0.3">
      <c r="A330" s="23"/>
      <c r="B330" s="23"/>
      <c r="C330" s="23"/>
      <c r="D330" s="23"/>
      <c r="E330" s="23"/>
      <c r="F330" s="23"/>
      <c r="G330" s="23"/>
      <c r="H330" s="95"/>
      <c r="I330" s="95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spans="1:36" ht="15.75" customHeight="1" x14ac:dyDescent="0.3">
      <c r="A331" s="23"/>
      <c r="B331" s="23"/>
      <c r="C331" s="23"/>
      <c r="D331" s="23"/>
      <c r="E331" s="23"/>
      <c r="F331" s="23"/>
      <c r="G331" s="23"/>
      <c r="H331" s="95"/>
      <c r="I331" s="95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spans="1:36" ht="15.75" customHeight="1" x14ac:dyDescent="0.3">
      <c r="A332" s="23"/>
      <c r="B332" s="23"/>
      <c r="C332" s="23"/>
      <c r="D332" s="23"/>
      <c r="E332" s="23"/>
      <c r="F332" s="23"/>
      <c r="G332" s="23"/>
      <c r="H332" s="95"/>
      <c r="I332" s="95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spans="1:36" ht="15.75" customHeight="1" x14ac:dyDescent="0.3">
      <c r="A333" s="23"/>
      <c r="B333" s="23"/>
      <c r="C333" s="23"/>
      <c r="D333" s="23"/>
      <c r="E333" s="23"/>
      <c r="F333" s="23"/>
      <c r="G333" s="23"/>
      <c r="H333" s="95"/>
      <c r="I333" s="95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spans="1:36" ht="15.75" customHeight="1" x14ac:dyDescent="0.3">
      <c r="A334" s="23"/>
      <c r="B334" s="23"/>
      <c r="C334" s="23"/>
      <c r="D334" s="23"/>
      <c r="E334" s="23"/>
      <c r="F334" s="23"/>
      <c r="G334" s="23"/>
      <c r="H334" s="95"/>
      <c r="I334" s="95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spans="1:36" ht="15.75" customHeight="1" x14ac:dyDescent="0.3">
      <c r="A335" s="23"/>
      <c r="B335" s="23"/>
      <c r="C335" s="23"/>
      <c r="D335" s="23"/>
      <c r="E335" s="23"/>
      <c r="F335" s="23"/>
      <c r="G335" s="23"/>
      <c r="H335" s="95"/>
      <c r="I335" s="95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spans="1:36" ht="15.75" customHeight="1" x14ac:dyDescent="0.3">
      <c r="A336" s="23"/>
      <c r="B336" s="23"/>
      <c r="C336" s="23"/>
      <c r="D336" s="23"/>
      <c r="E336" s="23"/>
      <c r="F336" s="23"/>
      <c r="G336" s="23"/>
      <c r="H336" s="95"/>
      <c r="I336" s="95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spans="1:36" ht="15.75" customHeight="1" x14ac:dyDescent="0.3">
      <c r="A337" s="23"/>
      <c r="B337" s="23"/>
      <c r="C337" s="23"/>
      <c r="D337" s="23"/>
      <c r="E337" s="23"/>
      <c r="F337" s="23"/>
      <c r="G337" s="23"/>
      <c r="H337" s="95"/>
      <c r="I337" s="95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spans="1:36" ht="15.75" customHeight="1" x14ac:dyDescent="0.3">
      <c r="A338" s="23"/>
      <c r="B338" s="23"/>
      <c r="C338" s="23"/>
      <c r="D338" s="23"/>
      <c r="E338" s="23"/>
      <c r="F338" s="23"/>
      <c r="G338" s="23"/>
      <c r="H338" s="95"/>
      <c r="I338" s="95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spans="1:36" ht="15.75" customHeight="1" x14ac:dyDescent="0.3">
      <c r="A339" s="23"/>
      <c r="B339" s="23"/>
      <c r="C339" s="23"/>
      <c r="D339" s="23"/>
      <c r="E339" s="23"/>
      <c r="F339" s="23"/>
      <c r="G339" s="23"/>
      <c r="H339" s="95"/>
      <c r="I339" s="95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spans="1:36" ht="15.75" customHeight="1" x14ac:dyDescent="0.3">
      <c r="A340" s="23"/>
      <c r="B340" s="23"/>
      <c r="C340" s="23"/>
      <c r="D340" s="23"/>
      <c r="E340" s="23"/>
      <c r="F340" s="23"/>
      <c r="G340" s="23"/>
      <c r="H340" s="95"/>
      <c r="I340" s="95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spans="1:36" ht="15.75" customHeight="1" x14ac:dyDescent="0.3">
      <c r="A341" s="23"/>
      <c r="B341" s="23"/>
      <c r="C341" s="23"/>
      <c r="D341" s="23"/>
      <c r="E341" s="23"/>
      <c r="F341" s="23"/>
      <c r="G341" s="23"/>
      <c r="H341" s="95"/>
      <c r="I341" s="95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spans="1:36" ht="15.75" customHeight="1" x14ac:dyDescent="0.3">
      <c r="A342" s="23"/>
      <c r="B342" s="23"/>
      <c r="C342" s="23"/>
      <c r="D342" s="23"/>
      <c r="E342" s="23"/>
      <c r="F342" s="23"/>
      <c r="G342" s="23"/>
      <c r="H342" s="95"/>
      <c r="I342" s="95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spans="1:36" ht="15.75" customHeight="1" x14ac:dyDescent="0.3">
      <c r="A343" s="23"/>
      <c r="B343" s="23"/>
      <c r="C343" s="23"/>
      <c r="D343" s="23"/>
      <c r="E343" s="23"/>
      <c r="F343" s="23"/>
      <c r="G343" s="23"/>
      <c r="H343" s="95"/>
      <c r="I343" s="95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spans="1:36" ht="15.75" customHeight="1" x14ac:dyDescent="0.3">
      <c r="A344" s="23"/>
      <c r="B344" s="23"/>
      <c r="C344" s="23"/>
      <c r="D344" s="23"/>
      <c r="E344" s="23"/>
      <c r="F344" s="23"/>
      <c r="G344" s="23"/>
      <c r="H344" s="95"/>
      <c r="I344" s="95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spans="1:36" ht="15.75" customHeight="1" x14ac:dyDescent="0.3">
      <c r="A345" s="23"/>
      <c r="B345" s="23"/>
      <c r="C345" s="23"/>
      <c r="D345" s="23"/>
      <c r="E345" s="23"/>
      <c r="F345" s="23"/>
      <c r="G345" s="23"/>
      <c r="H345" s="95"/>
      <c r="I345" s="95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spans="1:36" ht="15.75" customHeight="1" x14ac:dyDescent="0.3">
      <c r="A346" s="23"/>
      <c r="B346" s="23"/>
      <c r="C346" s="23"/>
      <c r="D346" s="23"/>
      <c r="E346" s="23"/>
      <c r="F346" s="23"/>
      <c r="G346" s="23"/>
      <c r="H346" s="95"/>
      <c r="I346" s="95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spans="1:36" ht="15.75" customHeight="1" x14ac:dyDescent="0.3">
      <c r="A347" s="23"/>
      <c r="B347" s="23"/>
      <c r="C347" s="23"/>
      <c r="D347" s="23"/>
      <c r="E347" s="23"/>
      <c r="F347" s="23"/>
      <c r="G347" s="23"/>
      <c r="H347" s="95"/>
      <c r="I347" s="95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spans="1:36" ht="15.75" customHeight="1" x14ac:dyDescent="0.3">
      <c r="A348" s="23"/>
      <c r="B348" s="23"/>
      <c r="C348" s="23"/>
      <c r="D348" s="23"/>
      <c r="E348" s="23"/>
      <c r="F348" s="23"/>
      <c r="G348" s="23"/>
      <c r="H348" s="95"/>
      <c r="I348" s="95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spans="1:36" ht="15.75" customHeight="1" x14ac:dyDescent="0.3">
      <c r="A349" s="23"/>
      <c r="B349" s="23"/>
      <c r="C349" s="23"/>
      <c r="D349" s="23"/>
      <c r="E349" s="23"/>
      <c r="F349" s="23"/>
      <c r="G349" s="23"/>
      <c r="H349" s="95"/>
      <c r="I349" s="95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spans="1:36" ht="15.75" customHeight="1" x14ac:dyDescent="0.3">
      <c r="A350" s="23"/>
      <c r="B350" s="23"/>
      <c r="C350" s="23"/>
      <c r="D350" s="23"/>
      <c r="E350" s="23"/>
      <c r="F350" s="23"/>
      <c r="G350" s="23"/>
      <c r="H350" s="95"/>
      <c r="I350" s="95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spans="1:36" ht="15.75" customHeight="1" x14ac:dyDescent="0.3">
      <c r="A351" s="23"/>
      <c r="B351" s="23"/>
      <c r="C351" s="23"/>
      <c r="D351" s="23"/>
      <c r="E351" s="23"/>
      <c r="F351" s="23"/>
      <c r="G351" s="23"/>
      <c r="H351" s="95"/>
      <c r="I351" s="95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spans="1:36" ht="15.75" customHeight="1" x14ac:dyDescent="0.3">
      <c r="A352" s="23"/>
      <c r="B352" s="23"/>
      <c r="C352" s="23"/>
      <c r="D352" s="23"/>
      <c r="E352" s="23"/>
      <c r="F352" s="23"/>
      <c r="G352" s="23"/>
      <c r="H352" s="95"/>
      <c r="I352" s="95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spans="1:36" ht="15.75" customHeight="1" x14ac:dyDescent="0.3">
      <c r="A353" s="23"/>
      <c r="B353" s="23"/>
      <c r="C353" s="23"/>
      <c r="D353" s="23"/>
      <c r="E353" s="23"/>
      <c r="F353" s="23"/>
      <c r="G353" s="23"/>
      <c r="H353" s="95"/>
      <c r="I353" s="95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spans="1:36" ht="15.75" customHeight="1" x14ac:dyDescent="0.3">
      <c r="A354" s="23"/>
      <c r="B354" s="23"/>
      <c r="C354" s="23"/>
      <c r="D354" s="23"/>
      <c r="E354" s="23"/>
      <c r="F354" s="23"/>
      <c r="G354" s="23"/>
      <c r="H354" s="95"/>
      <c r="I354" s="95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spans="1:36" ht="15.75" customHeight="1" x14ac:dyDescent="0.3">
      <c r="A355" s="23"/>
      <c r="B355" s="23"/>
      <c r="C355" s="23"/>
      <c r="D355" s="23"/>
      <c r="E355" s="23"/>
      <c r="F355" s="23"/>
      <c r="G355" s="23"/>
      <c r="H355" s="95"/>
      <c r="I355" s="95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spans="1:36" ht="15.75" customHeight="1" x14ac:dyDescent="0.3">
      <c r="A356" s="23"/>
      <c r="B356" s="23"/>
      <c r="C356" s="23"/>
      <c r="D356" s="23"/>
      <c r="E356" s="23"/>
      <c r="F356" s="23"/>
      <c r="G356" s="23"/>
      <c r="H356" s="95"/>
      <c r="I356" s="95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spans="1:36" ht="15.75" customHeight="1" x14ac:dyDescent="0.3">
      <c r="A357" s="23"/>
      <c r="B357" s="23"/>
      <c r="C357" s="23"/>
      <c r="D357" s="23"/>
      <c r="E357" s="23"/>
      <c r="F357" s="23"/>
      <c r="G357" s="23"/>
      <c r="H357" s="95"/>
      <c r="I357" s="95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spans="1:36" ht="15.75" customHeight="1" x14ac:dyDescent="0.3">
      <c r="A358" s="23"/>
      <c r="B358" s="23"/>
      <c r="C358" s="23"/>
      <c r="D358" s="23"/>
      <c r="E358" s="23"/>
      <c r="F358" s="23"/>
      <c r="G358" s="23"/>
      <c r="H358" s="95"/>
      <c r="I358" s="95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spans="1:36" ht="15.75" customHeight="1" x14ac:dyDescent="0.3">
      <c r="A359" s="23"/>
      <c r="B359" s="23"/>
      <c r="C359" s="23"/>
      <c r="D359" s="23"/>
      <c r="E359" s="23"/>
      <c r="F359" s="23"/>
      <c r="G359" s="23"/>
      <c r="H359" s="95"/>
      <c r="I359" s="95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spans="1:36" ht="15.75" customHeight="1" x14ac:dyDescent="0.3">
      <c r="A360" s="23"/>
      <c r="B360" s="23"/>
      <c r="C360" s="23"/>
      <c r="D360" s="23"/>
      <c r="E360" s="23"/>
      <c r="F360" s="23"/>
      <c r="G360" s="23"/>
      <c r="H360" s="95"/>
      <c r="I360" s="95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spans="1:36" ht="15.75" customHeight="1" x14ac:dyDescent="0.3">
      <c r="A361" s="23"/>
      <c r="B361" s="23"/>
      <c r="C361" s="23"/>
      <c r="D361" s="23"/>
      <c r="E361" s="23"/>
      <c r="F361" s="23"/>
      <c r="G361" s="23"/>
      <c r="H361" s="95"/>
      <c r="I361" s="95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spans="1:36" ht="15.75" customHeight="1" x14ac:dyDescent="0.3">
      <c r="A362" s="23"/>
      <c r="B362" s="23"/>
      <c r="C362" s="23"/>
      <c r="D362" s="23"/>
      <c r="E362" s="23"/>
      <c r="F362" s="23"/>
      <c r="G362" s="23"/>
      <c r="H362" s="95"/>
      <c r="I362" s="95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spans="1:36" ht="15.75" customHeight="1" x14ac:dyDescent="0.3">
      <c r="A363" s="23"/>
      <c r="B363" s="23"/>
      <c r="C363" s="23"/>
      <c r="D363" s="23"/>
      <c r="E363" s="23"/>
      <c r="F363" s="23"/>
      <c r="G363" s="23"/>
      <c r="H363" s="95"/>
      <c r="I363" s="95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spans="1:36" ht="15.75" customHeight="1" x14ac:dyDescent="0.3">
      <c r="A364" s="23"/>
      <c r="B364" s="23"/>
      <c r="C364" s="23"/>
      <c r="D364" s="23"/>
      <c r="E364" s="23"/>
      <c r="F364" s="23"/>
      <c r="G364" s="23"/>
      <c r="H364" s="95"/>
      <c r="I364" s="95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spans="1:36" ht="15.75" customHeight="1" x14ac:dyDescent="0.3">
      <c r="A365" s="23"/>
      <c r="B365" s="23"/>
      <c r="C365" s="23"/>
      <c r="D365" s="23"/>
      <c r="E365" s="23"/>
      <c r="F365" s="23"/>
      <c r="G365" s="23"/>
      <c r="H365" s="95"/>
      <c r="I365" s="95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spans="1:36" ht="15.75" customHeight="1" x14ac:dyDescent="0.3">
      <c r="A366" s="23"/>
      <c r="B366" s="23"/>
      <c r="C366" s="23"/>
      <c r="D366" s="23"/>
      <c r="E366" s="23"/>
      <c r="F366" s="23"/>
      <c r="G366" s="23"/>
      <c r="H366" s="95"/>
      <c r="I366" s="95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spans="1:36" ht="15.75" customHeight="1" x14ac:dyDescent="0.3">
      <c r="A367" s="23"/>
      <c r="B367" s="23"/>
      <c r="C367" s="23"/>
      <c r="D367" s="23"/>
      <c r="E367" s="23"/>
      <c r="F367" s="23"/>
      <c r="G367" s="23"/>
      <c r="H367" s="95"/>
      <c r="I367" s="95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spans="1:36" ht="15.75" customHeight="1" x14ac:dyDescent="0.3">
      <c r="A368" s="23"/>
      <c r="B368" s="23"/>
      <c r="C368" s="23"/>
      <c r="D368" s="23"/>
      <c r="E368" s="23"/>
      <c r="F368" s="23"/>
      <c r="G368" s="23"/>
      <c r="H368" s="95"/>
      <c r="I368" s="95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spans="1:36" ht="15.75" customHeight="1" x14ac:dyDescent="0.3">
      <c r="A369" s="23"/>
      <c r="B369" s="23"/>
      <c r="C369" s="23"/>
      <c r="D369" s="23"/>
      <c r="E369" s="23"/>
      <c r="F369" s="23"/>
      <c r="G369" s="23"/>
      <c r="H369" s="95"/>
      <c r="I369" s="95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spans="1:36" ht="15.75" customHeight="1" x14ac:dyDescent="0.3">
      <c r="A370" s="23"/>
      <c r="B370" s="23"/>
      <c r="C370" s="23"/>
      <c r="D370" s="23"/>
      <c r="E370" s="23"/>
      <c r="F370" s="23"/>
      <c r="G370" s="23"/>
      <c r="H370" s="95"/>
      <c r="I370" s="95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spans="1:36" ht="15.75" customHeight="1" x14ac:dyDescent="0.3">
      <c r="A371" s="23"/>
      <c r="B371" s="23"/>
      <c r="C371" s="23"/>
      <c r="D371" s="23"/>
      <c r="E371" s="23"/>
      <c r="F371" s="23"/>
      <c r="G371" s="23"/>
      <c r="H371" s="95"/>
      <c r="I371" s="95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</row>
    <row r="372" spans="1:36" ht="15.75" customHeight="1" x14ac:dyDescent="0.3">
      <c r="A372" s="23"/>
      <c r="B372" s="23"/>
      <c r="C372" s="23"/>
      <c r="D372" s="23"/>
      <c r="E372" s="23"/>
      <c r="F372" s="23"/>
      <c r="G372" s="23"/>
      <c r="H372" s="95"/>
      <c r="I372" s="95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</row>
    <row r="373" spans="1:36" ht="15.75" customHeight="1" x14ac:dyDescent="0.3">
      <c r="A373" s="23"/>
      <c r="B373" s="23"/>
      <c r="C373" s="23"/>
      <c r="D373" s="23"/>
      <c r="E373" s="23"/>
      <c r="F373" s="23"/>
      <c r="G373" s="23"/>
      <c r="H373" s="95"/>
      <c r="I373" s="95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</row>
    <row r="374" spans="1:36" ht="15.75" customHeight="1" x14ac:dyDescent="0.3">
      <c r="A374" s="23"/>
      <c r="B374" s="23"/>
      <c r="C374" s="23"/>
      <c r="D374" s="23"/>
      <c r="E374" s="23"/>
      <c r="F374" s="23"/>
      <c r="G374" s="23"/>
      <c r="H374" s="95"/>
      <c r="I374" s="95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</row>
    <row r="375" spans="1:36" ht="15.75" customHeight="1" x14ac:dyDescent="0.3">
      <c r="A375" s="23"/>
      <c r="B375" s="23"/>
      <c r="C375" s="23"/>
      <c r="D375" s="23"/>
      <c r="E375" s="23"/>
      <c r="F375" s="23"/>
      <c r="G375" s="23"/>
      <c r="H375" s="95"/>
      <c r="I375" s="95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</row>
    <row r="376" spans="1:36" ht="15.75" customHeight="1" x14ac:dyDescent="0.3">
      <c r="A376" s="23"/>
      <c r="B376" s="23"/>
      <c r="C376" s="23"/>
      <c r="D376" s="23"/>
      <c r="E376" s="23"/>
      <c r="F376" s="23"/>
      <c r="G376" s="23"/>
      <c r="H376" s="95"/>
      <c r="I376" s="95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</row>
    <row r="377" spans="1:36" ht="15.75" customHeight="1" x14ac:dyDescent="0.3">
      <c r="A377" s="23"/>
      <c r="B377" s="23"/>
      <c r="C377" s="23"/>
      <c r="D377" s="23"/>
      <c r="E377" s="23"/>
      <c r="F377" s="23"/>
      <c r="G377" s="23"/>
      <c r="H377" s="95"/>
      <c r="I377" s="95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</row>
    <row r="378" spans="1:36" ht="15.75" customHeight="1" x14ac:dyDescent="0.3">
      <c r="A378" s="23"/>
      <c r="B378" s="23"/>
      <c r="C378" s="23"/>
      <c r="D378" s="23"/>
      <c r="E378" s="23"/>
      <c r="F378" s="23"/>
      <c r="G378" s="23"/>
      <c r="H378" s="95"/>
      <c r="I378" s="95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</row>
    <row r="379" spans="1:36" ht="15.75" customHeight="1" x14ac:dyDescent="0.3">
      <c r="A379" s="23"/>
      <c r="B379" s="23"/>
      <c r="C379" s="23"/>
      <c r="D379" s="23"/>
      <c r="E379" s="23"/>
      <c r="F379" s="23"/>
      <c r="G379" s="23"/>
      <c r="H379" s="95"/>
      <c r="I379" s="95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</row>
    <row r="380" spans="1:36" ht="15.75" customHeight="1" x14ac:dyDescent="0.3">
      <c r="A380" s="23"/>
      <c r="B380" s="23"/>
      <c r="C380" s="23"/>
      <c r="D380" s="23"/>
      <c r="E380" s="23"/>
      <c r="F380" s="23"/>
      <c r="G380" s="23"/>
      <c r="H380" s="95"/>
      <c r="I380" s="95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</row>
    <row r="381" spans="1:36" ht="15.75" customHeight="1" x14ac:dyDescent="0.3">
      <c r="A381" s="23"/>
      <c r="B381" s="23"/>
      <c r="C381" s="23"/>
      <c r="D381" s="23"/>
      <c r="E381" s="23"/>
      <c r="F381" s="23"/>
      <c r="G381" s="23"/>
      <c r="H381" s="95"/>
      <c r="I381" s="95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</row>
    <row r="382" spans="1:36" ht="15.75" customHeight="1" x14ac:dyDescent="0.3">
      <c r="A382" s="23"/>
      <c r="B382" s="23"/>
      <c r="C382" s="23"/>
      <c r="D382" s="23"/>
      <c r="E382" s="23"/>
      <c r="F382" s="23"/>
      <c r="G382" s="23"/>
      <c r="H382" s="95"/>
      <c r="I382" s="95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</row>
    <row r="383" spans="1:36" ht="15.75" customHeight="1" x14ac:dyDescent="0.3">
      <c r="A383" s="23"/>
      <c r="B383" s="23"/>
      <c r="C383" s="23"/>
      <c r="D383" s="23"/>
      <c r="E383" s="23"/>
      <c r="F383" s="23"/>
      <c r="G383" s="23"/>
      <c r="H383" s="95"/>
      <c r="I383" s="95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</row>
    <row r="384" spans="1:36" ht="15.75" customHeight="1" x14ac:dyDescent="0.3">
      <c r="A384" s="23"/>
      <c r="B384" s="23"/>
      <c r="C384" s="23"/>
      <c r="D384" s="23"/>
      <c r="E384" s="23"/>
      <c r="F384" s="23"/>
      <c r="G384" s="23"/>
      <c r="H384" s="95"/>
      <c r="I384" s="95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</row>
    <row r="385" spans="1:36" ht="15.75" customHeight="1" x14ac:dyDescent="0.3">
      <c r="A385" s="23"/>
      <c r="B385" s="23"/>
      <c r="C385" s="23"/>
      <c r="D385" s="23"/>
      <c r="E385" s="23"/>
      <c r="F385" s="23"/>
      <c r="G385" s="23"/>
      <c r="H385" s="95"/>
      <c r="I385" s="95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</row>
    <row r="386" spans="1:36" ht="15.75" customHeight="1" x14ac:dyDescent="0.3">
      <c r="A386" s="23"/>
      <c r="B386" s="23"/>
      <c r="C386" s="23"/>
      <c r="D386" s="23"/>
      <c r="E386" s="23"/>
      <c r="F386" s="23"/>
      <c r="G386" s="23"/>
      <c r="H386" s="95"/>
      <c r="I386" s="95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</row>
    <row r="387" spans="1:36" ht="15.75" customHeight="1" x14ac:dyDescent="0.3">
      <c r="A387" s="23"/>
      <c r="B387" s="23"/>
      <c r="C387" s="23"/>
      <c r="D387" s="23"/>
      <c r="E387" s="23"/>
      <c r="F387" s="23"/>
      <c r="G387" s="23"/>
      <c r="H387" s="95"/>
      <c r="I387" s="95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</row>
    <row r="388" spans="1:36" ht="15.75" customHeight="1" x14ac:dyDescent="0.3">
      <c r="A388" s="23"/>
      <c r="B388" s="23"/>
      <c r="C388" s="23"/>
      <c r="D388" s="23"/>
      <c r="E388" s="23"/>
      <c r="F388" s="23"/>
      <c r="G388" s="23"/>
      <c r="H388" s="95"/>
      <c r="I388" s="95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</row>
    <row r="389" spans="1:36" ht="15.75" customHeight="1" x14ac:dyDescent="0.3">
      <c r="A389" s="23"/>
      <c r="B389" s="23"/>
      <c r="C389" s="23"/>
      <c r="D389" s="23"/>
      <c r="E389" s="23"/>
      <c r="F389" s="23"/>
      <c r="G389" s="23"/>
      <c r="H389" s="95"/>
      <c r="I389" s="95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</row>
    <row r="390" spans="1:36" ht="15.75" customHeight="1" x14ac:dyDescent="0.3">
      <c r="A390" s="23"/>
      <c r="B390" s="23"/>
      <c r="C390" s="23"/>
      <c r="D390" s="23"/>
      <c r="E390" s="23"/>
      <c r="F390" s="23"/>
      <c r="G390" s="23"/>
      <c r="H390" s="95"/>
      <c r="I390" s="95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</row>
    <row r="391" spans="1:36" ht="15.75" customHeight="1" x14ac:dyDescent="0.3">
      <c r="A391" s="23"/>
      <c r="B391" s="23"/>
      <c r="C391" s="23"/>
      <c r="D391" s="23"/>
      <c r="E391" s="23"/>
      <c r="F391" s="23"/>
      <c r="G391" s="23"/>
      <c r="H391" s="95"/>
      <c r="I391" s="95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</row>
    <row r="392" spans="1:36" ht="15.75" customHeight="1" x14ac:dyDescent="0.3">
      <c r="A392" s="23"/>
      <c r="B392" s="23"/>
      <c r="C392" s="23"/>
      <c r="D392" s="23"/>
      <c r="E392" s="23"/>
      <c r="F392" s="23"/>
      <c r="G392" s="23"/>
      <c r="H392" s="95"/>
      <c r="I392" s="95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</row>
    <row r="393" spans="1:36" ht="15.75" customHeight="1" x14ac:dyDescent="0.3">
      <c r="A393" s="23"/>
      <c r="B393" s="23"/>
      <c r="C393" s="23"/>
      <c r="D393" s="23"/>
      <c r="E393" s="23"/>
      <c r="F393" s="23"/>
      <c r="G393" s="23"/>
      <c r="H393" s="95"/>
      <c r="I393" s="95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</row>
    <row r="394" spans="1:36" ht="15.75" customHeight="1" x14ac:dyDescent="0.3">
      <c r="A394" s="23"/>
      <c r="B394" s="23"/>
      <c r="C394" s="23"/>
      <c r="D394" s="23"/>
      <c r="E394" s="23"/>
      <c r="F394" s="23"/>
      <c r="G394" s="23"/>
      <c r="H394" s="95"/>
      <c r="I394" s="95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</row>
    <row r="395" spans="1:36" ht="15.75" customHeight="1" x14ac:dyDescent="0.3">
      <c r="A395" s="23"/>
      <c r="B395" s="23"/>
      <c r="C395" s="23"/>
      <c r="D395" s="23"/>
      <c r="E395" s="23"/>
      <c r="F395" s="23"/>
      <c r="G395" s="23"/>
      <c r="H395" s="95"/>
      <c r="I395" s="95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</row>
    <row r="396" spans="1:36" ht="15.75" customHeight="1" x14ac:dyDescent="0.3">
      <c r="A396" s="23"/>
      <c r="B396" s="23"/>
      <c r="C396" s="23"/>
      <c r="D396" s="23"/>
      <c r="E396" s="23"/>
      <c r="F396" s="23"/>
      <c r="G396" s="23"/>
      <c r="H396" s="95"/>
      <c r="I396" s="95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</row>
    <row r="397" spans="1:36" ht="15.75" customHeight="1" x14ac:dyDescent="0.3">
      <c r="A397" s="23"/>
      <c r="B397" s="23"/>
      <c r="C397" s="23"/>
      <c r="D397" s="23"/>
      <c r="E397" s="23"/>
      <c r="F397" s="23"/>
      <c r="G397" s="23"/>
      <c r="H397" s="95"/>
      <c r="I397" s="95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</row>
    <row r="398" spans="1:36" ht="15.75" customHeight="1" x14ac:dyDescent="0.3">
      <c r="A398" s="23"/>
      <c r="B398" s="23"/>
      <c r="C398" s="23"/>
      <c r="D398" s="23"/>
      <c r="E398" s="23"/>
      <c r="F398" s="23"/>
      <c r="G398" s="23"/>
      <c r="H398" s="95"/>
      <c r="I398" s="95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</row>
    <row r="399" spans="1:36" ht="15.75" customHeight="1" x14ac:dyDescent="0.3">
      <c r="A399" s="23"/>
      <c r="B399" s="23"/>
      <c r="C399" s="23"/>
      <c r="D399" s="23"/>
      <c r="E399" s="23"/>
      <c r="F399" s="23"/>
      <c r="G399" s="23"/>
      <c r="H399" s="95"/>
      <c r="I399" s="95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</row>
    <row r="400" spans="1:36" ht="15.75" customHeight="1" x14ac:dyDescent="0.3">
      <c r="A400" s="23"/>
      <c r="B400" s="23"/>
      <c r="C400" s="23"/>
      <c r="D400" s="23"/>
      <c r="E400" s="23"/>
      <c r="F400" s="23"/>
      <c r="G400" s="23"/>
      <c r="H400" s="95"/>
      <c r="I400" s="95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</row>
    <row r="401" spans="1:36" ht="15.75" customHeight="1" x14ac:dyDescent="0.3">
      <c r="A401" s="23"/>
      <c r="B401" s="23"/>
      <c r="C401" s="23"/>
      <c r="D401" s="23"/>
      <c r="E401" s="23"/>
      <c r="F401" s="23"/>
      <c r="G401" s="23"/>
      <c r="H401" s="95"/>
      <c r="I401" s="95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</row>
    <row r="402" spans="1:36" ht="15.75" customHeight="1" x14ac:dyDescent="0.3">
      <c r="A402" s="23"/>
      <c r="B402" s="23"/>
      <c r="C402" s="23"/>
      <c r="D402" s="23"/>
      <c r="E402" s="23"/>
      <c r="F402" s="23"/>
      <c r="G402" s="23"/>
      <c r="H402" s="95"/>
      <c r="I402" s="95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</row>
    <row r="403" spans="1:36" ht="15.75" customHeight="1" x14ac:dyDescent="0.3">
      <c r="A403" s="23"/>
      <c r="B403" s="23"/>
      <c r="C403" s="23"/>
      <c r="D403" s="23"/>
      <c r="E403" s="23"/>
      <c r="F403" s="23"/>
      <c r="G403" s="23"/>
      <c r="H403" s="95"/>
      <c r="I403" s="95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</row>
    <row r="404" spans="1:36" ht="15.75" customHeight="1" x14ac:dyDescent="0.3">
      <c r="A404" s="23"/>
      <c r="B404" s="23"/>
      <c r="C404" s="23"/>
      <c r="D404" s="23"/>
      <c r="E404" s="23"/>
      <c r="F404" s="23"/>
      <c r="G404" s="23"/>
      <c r="H404" s="95"/>
      <c r="I404" s="95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</row>
    <row r="405" spans="1:36" ht="15.75" customHeight="1" x14ac:dyDescent="0.3">
      <c r="A405" s="23"/>
      <c r="B405" s="23"/>
      <c r="C405" s="23"/>
      <c r="D405" s="23"/>
      <c r="E405" s="23"/>
      <c r="F405" s="23"/>
      <c r="G405" s="23"/>
      <c r="H405" s="95"/>
      <c r="I405" s="95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</row>
    <row r="406" spans="1:36" ht="15.75" customHeight="1" x14ac:dyDescent="0.3">
      <c r="A406" s="23"/>
      <c r="B406" s="23"/>
      <c r="C406" s="23"/>
      <c r="D406" s="23"/>
      <c r="E406" s="23"/>
      <c r="F406" s="23"/>
      <c r="G406" s="23"/>
      <c r="H406" s="95"/>
      <c r="I406" s="95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</row>
    <row r="407" spans="1:36" ht="15.75" customHeight="1" x14ac:dyDescent="0.3">
      <c r="A407" s="23"/>
      <c r="B407" s="23"/>
      <c r="C407" s="23"/>
      <c r="D407" s="23"/>
      <c r="E407" s="23"/>
      <c r="F407" s="23"/>
      <c r="G407" s="23"/>
      <c r="H407" s="95"/>
      <c r="I407" s="95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</row>
    <row r="408" spans="1:36" ht="15.75" customHeight="1" x14ac:dyDescent="0.3">
      <c r="A408" s="23"/>
      <c r="B408" s="23"/>
      <c r="C408" s="23"/>
      <c r="D408" s="23"/>
      <c r="E408" s="23"/>
      <c r="F408" s="23"/>
      <c r="G408" s="23"/>
      <c r="H408" s="95"/>
      <c r="I408" s="95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</row>
    <row r="409" spans="1:36" ht="15.75" customHeight="1" x14ac:dyDescent="0.3">
      <c r="A409" s="23"/>
      <c r="B409" s="23"/>
      <c r="C409" s="23"/>
      <c r="D409" s="23"/>
      <c r="E409" s="23"/>
      <c r="F409" s="23"/>
      <c r="G409" s="23"/>
      <c r="H409" s="95"/>
      <c r="I409" s="95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</row>
    <row r="410" spans="1:36" ht="15.75" customHeight="1" x14ac:dyDescent="0.3">
      <c r="A410" s="23"/>
      <c r="B410" s="23"/>
      <c r="C410" s="23"/>
      <c r="D410" s="23"/>
      <c r="E410" s="23"/>
      <c r="F410" s="23"/>
      <c r="G410" s="23"/>
      <c r="H410" s="95"/>
      <c r="I410" s="95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</row>
    <row r="411" spans="1:36" ht="15.75" customHeight="1" x14ac:dyDescent="0.3">
      <c r="A411" s="23"/>
      <c r="B411" s="23"/>
      <c r="C411" s="23"/>
      <c r="D411" s="23"/>
      <c r="E411" s="23"/>
      <c r="F411" s="23"/>
      <c r="G411" s="23"/>
      <c r="H411" s="95"/>
      <c r="I411" s="95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</row>
    <row r="412" spans="1:36" ht="15.75" customHeight="1" x14ac:dyDescent="0.3">
      <c r="A412" s="23"/>
      <c r="B412" s="23"/>
      <c r="C412" s="23"/>
      <c r="D412" s="23"/>
      <c r="E412" s="23"/>
      <c r="F412" s="23"/>
      <c r="G412" s="23"/>
      <c r="H412" s="95"/>
      <c r="I412" s="95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</row>
    <row r="413" spans="1:36" ht="15.75" customHeight="1" x14ac:dyDescent="0.3">
      <c r="A413" s="23"/>
      <c r="B413" s="23"/>
      <c r="C413" s="23"/>
      <c r="D413" s="23"/>
      <c r="E413" s="23"/>
      <c r="F413" s="23"/>
      <c r="G413" s="23"/>
      <c r="H413" s="95"/>
      <c r="I413" s="95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</row>
    <row r="414" spans="1:36" ht="15.75" customHeight="1" x14ac:dyDescent="0.3">
      <c r="A414" s="23"/>
      <c r="B414" s="23"/>
      <c r="C414" s="23"/>
      <c r="D414" s="23"/>
      <c r="E414" s="23"/>
      <c r="F414" s="23"/>
      <c r="G414" s="23"/>
      <c r="H414" s="95"/>
      <c r="I414" s="95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</row>
    <row r="415" spans="1:36" ht="15.75" customHeight="1" x14ac:dyDescent="0.3">
      <c r="A415" s="23"/>
      <c r="B415" s="23"/>
      <c r="C415" s="23"/>
      <c r="D415" s="23"/>
      <c r="E415" s="23"/>
      <c r="F415" s="23"/>
      <c r="G415" s="23"/>
      <c r="H415" s="95"/>
      <c r="I415" s="95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</row>
    <row r="416" spans="1:36" ht="15.75" customHeight="1" x14ac:dyDescent="0.3">
      <c r="A416" s="23"/>
      <c r="B416" s="23"/>
      <c r="C416" s="23"/>
      <c r="D416" s="23"/>
      <c r="E416" s="23"/>
      <c r="F416" s="23"/>
      <c r="G416" s="23"/>
      <c r="H416" s="95"/>
      <c r="I416" s="95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</row>
    <row r="417" spans="1:36" ht="15.75" customHeight="1" x14ac:dyDescent="0.3">
      <c r="A417" s="23"/>
      <c r="B417" s="23"/>
      <c r="C417" s="23"/>
      <c r="D417" s="23"/>
      <c r="E417" s="23"/>
      <c r="F417" s="23"/>
      <c r="G417" s="23"/>
      <c r="H417" s="95"/>
      <c r="I417" s="95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</row>
    <row r="418" spans="1:36" ht="15.75" customHeight="1" x14ac:dyDescent="0.3">
      <c r="A418" s="23"/>
      <c r="B418" s="23"/>
      <c r="C418" s="23"/>
      <c r="D418" s="23"/>
      <c r="E418" s="23"/>
      <c r="F418" s="23"/>
      <c r="G418" s="23"/>
      <c r="H418" s="95"/>
      <c r="I418" s="95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</row>
    <row r="419" spans="1:36" ht="15.75" customHeight="1" x14ac:dyDescent="0.3">
      <c r="A419" s="23"/>
      <c r="B419" s="23"/>
      <c r="C419" s="23"/>
      <c r="D419" s="23"/>
      <c r="E419" s="23"/>
      <c r="F419" s="23"/>
      <c r="G419" s="23"/>
      <c r="H419" s="95"/>
      <c r="I419" s="95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</row>
    <row r="420" spans="1:36" ht="15.75" customHeight="1" x14ac:dyDescent="0.3">
      <c r="A420" s="23"/>
      <c r="B420" s="23"/>
      <c r="C420" s="23"/>
      <c r="D420" s="23"/>
      <c r="E420" s="23"/>
      <c r="F420" s="23"/>
      <c r="G420" s="23"/>
      <c r="H420" s="95"/>
      <c r="I420" s="95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</row>
    <row r="421" spans="1:36" ht="15.75" customHeight="1" x14ac:dyDescent="0.3">
      <c r="A421" s="23"/>
      <c r="B421" s="23"/>
      <c r="C421" s="23"/>
      <c r="D421" s="23"/>
      <c r="E421" s="23"/>
      <c r="F421" s="23"/>
      <c r="G421" s="23"/>
      <c r="H421" s="95"/>
      <c r="I421" s="95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</row>
    <row r="422" spans="1:36" ht="15.75" customHeight="1" x14ac:dyDescent="0.3">
      <c r="A422" s="23"/>
      <c r="B422" s="23"/>
      <c r="C422" s="23"/>
      <c r="D422" s="23"/>
      <c r="E422" s="23"/>
      <c r="F422" s="23"/>
      <c r="G422" s="23"/>
      <c r="H422" s="95"/>
      <c r="I422" s="95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</row>
    <row r="423" spans="1:36" ht="15.75" customHeight="1" x14ac:dyDescent="0.3">
      <c r="A423" s="23"/>
      <c r="B423" s="23"/>
      <c r="C423" s="23"/>
      <c r="D423" s="23"/>
      <c r="E423" s="23"/>
      <c r="F423" s="23"/>
      <c r="G423" s="23"/>
      <c r="H423" s="95"/>
      <c r="I423" s="95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</row>
    <row r="424" spans="1:36" ht="15.75" customHeight="1" x14ac:dyDescent="0.3">
      <c r="A424" s="23"/>
      <c r="B424" s="23"/>
      <c r="C424" s="23"/>
      <c r="D424" s="23"/>
      <c r="E424" s="23"/>
      <c r="F424" s="23"/>
      <c r="G424" s="23"/>
      <c r="H424" s="95"/>
      <c r="I424" s="95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</row>
    <row r="425" spans="1:36" ht="15.75" customHeight="1" x14ac:dyDescent="0.3">
      <c r="A425" s="23"/>
      <c r="B425" s="23"/>
      <c r="C425" s="23"/>
      <c r="D425" s="23"/>
      <c r="E425" s="23"/>
      <c r="F425" s="23"/>
      <c r="G425" s="23"/>
      <c r="H425" s="95"/>
      <c r="I425" s="95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</row>
    <row r="426" spans="1:36" ht="15.75" customHeight="1" x14ac:dyDescent="0.3">
      <c r="A426" s="23"/>
      <c r="B426" s="23"/>
      <c r="C426" s="23"/>
      <c r="D426" s="23"/>
      <c r="E426" s="23"/>
      <c r="F426" s="23"/>
      <c r="G426" s="23"/>
      <c r="H426" s="95"/>
      <c r="I426" s="95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</row>
    <row r="427" spans="1:36" ht="15.75" customHeight="1" x14ac:dyDescent="0.3">
      <c r="A427" s="23"/>
      <c r="B427" s="23"/>
      <c r="C427" s="23"/>
      <c r="D427" s="23"/>
      <c r="E427" s="23"/>
      <c r="F427" s="23"/>
      <c r="G427" s="23"/>
      <c r="H427" s="95"/>
      <c r="I427" s="95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</row>
    <row r="428" spans="1:36" ht="15.75" customHeight="1" x14ac:dyDescent="0.3">
      <c r="A428" s="23"/>
      <c r="B428" s="23"/>
      <c r="C428" s="23"/>
      <c r="D428" s="23"/>
      <c r="E428" s="23"/>
      <c r="F428" s="23"/>
      <c r="G428" s="23"/>
      <c r="H428" s="95"/>
      <c r="I428" s="95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</row>
    <row r="429" spans="1:36" ht="15.75" customHeight="1" x14ac:dyDescent="0.3">
      <c r="A429" s="23"/>
      <c r="B429" s="23"/>
      <c r="C429" s="23"/>
      <c r="D429" s="23"/>
      <c r="E429" s="23"/>
      <c r="F429" s="23"/>
      <c r="G429" s="23"/>
      <c r="H429" s="95"/>
      <c r="I429" s="95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</row>
    <row r="430" spans="1:36" ht="15.75" customHeight="1" x14ac:dyDescent="0.3">
      <c r="A430" s="23"/>
      <c r="B430" s="23"/>
      <c r="C430" s="23"/>
      <c r="D430" s="23"/>
      <c r="E430" s="23"/>
      <c r="F430" s="23"/>
      <c r="G430" s="23"/>
      <c r="H430" s="95"/>
      <c r="I430" s="95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</row>
    <row r="431" spans="1:36" ht="15.75" customHeight="1" x14ac:dyDescent="0.3">
      <c r="A431" s="23"/>
      <c r="B431" s="23"/>
      <c r="C431" s="23"/>
      <c r="D431" s="23"/>
      <c r="E431" s="23"/>
      <c r="F431" s="23"/>
      <c r="G431" s="23"/>
      <c r="H431" s="95"/>
      <c r="I431" s="95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</row>
    <row r="432" spans="1:36" ht="15.75" customHeight="1" x14ac:dyDescent="0.3">
      <c r="A432" s="23"/>
      <c r="B432" s="23"/>
      <c r="C432" s="23"/>
      <c r="D432" s="23"/>
      <c r="E432" s="23"/>
      <c r="F432" s="23"/>
      <c r="G432" s="23"/>
      <c r="H432" s="95"/>
      <c r="I432" s="95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</row>
    <row r="433" spans="1:36" ht="15.75" customHeight="1" x14ac:dyDescent="0.3">
      <c r="A433" s="23"/>
      <c r="B433" s="23"/>
      <c r="C433" s="23"/>
      <c r="D433" s="23"/>
      <c r="E433" s="23"/>
      <c r="F433" s="23"/>
      <c r="G433" s="23"/>
      <c r="H433" s="95"/>
      <c r="I433" s="95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</row>
    <row r="434" spans="1:36" ht="15.75" customHeight="1" x14ac:dyDescent="0.3">
      <c r="A434" s="23"/>
      <c r="B434" s="23"/>
      <c r="C434" s="23"/>
      <c r="D434" s="23"/>
      <c r="E434" s="23"/>
      <c r="F434" s="23"/>
      <c r="G434" s="23"/>
      <c r="H434" s="95"/>
      <c r="I434" s="95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</row>
    <row r="435" spans="1:36" ht="15.75" customHeight="1" x14ac:dyDescent="0.3">
      <c r="A435" s="23"/>
      <c r="B435" s="23"/>
      <c r="C435" s="23"/>
      <c r="D435" s="23"/>
      <c r="E435" s="23"/>
      <c r="F435" s="23"/>
      <c r="G435" s="23"/>
      <c r="H435" s="95"/>
      <c r="I435" s="95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</row>
    <row r="436" spans="1:36" ht="15.75" customHeight="1" x14ac:dyDescent="0.3">
      <c r="A436" s="23"/>
      <c r="B436" s="23"/>
      <c r="C436" s="23"/>
      <c r="D436" s="23"/>
      <c r="E436" s="23"/>
      <c r="F436" s="23"/>
      <c r="G436" s="23"/>
      <c r="H436" s="95"/>
      <c r="I436" s="95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</row>
    <row r="437" spans="1:36" ht="15.75" customHeight="1" x14ac:dyDescent="0.3">
      <c r="A437" s="23"/>
      <c r="B437" s="23"/>
      <c r="C437" s="23"/>
      <c r="D437" s="23"/>
      <c r="E437" s="23"/>
      <c r="F437" s="23"/>
      <c r="G437" s="23"/>
      <c r="H437" s="95"/>
      <c r="I437" s="95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</row>
    <row r="438" spans="1:36" ht="15.75" customHeight="1" x14ac:dyDescent="0.3">
      <c r="A438" s="23"/>
      <c r="B438" s="23"/>
      <c r="C438" s="23"/>
      <c r="D438" s="23"/>
      <c r="E438" s="23"/>
      <c r="F438" s="23"/>
      <c r="G438" s="23"/>
      <c r="H438" s="95"/>
      <c r="I438" s="95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</row>
    <row r="439" spans="1:36" ht="15.75" customHeight="1" x14ac:dyDescent="0.3">
      <c r="A439" s="23"/>
      <c r="B439" s="23"/>
      <c r="C439" s="23"/>
      <c r="D439" s="23"/>
      <c r="E439" s="23"/>
      <c r="F439" s="23"/>
      <c r="G439" s="23"/>
      <c r="H439" s="95"/>
      <c r="I439" s="95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</row>
    <row r="440" spans="1:36" ht="15.75" customHeight="1" x14ac:dyDescent="0.3">
      <c r="A440" s="23"/>
      <c r="B440" s="23"/>
      <c r="C440" s="23"/>
      <c r="D440" s="23"/>
      <c r="E440" s="23"/>
      <c r="F440" s="23"/>
      <c r="G440" s="23"/>
      <c r="H440" s="95"/>
      <c r="I440" s="95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</row>
    <row r="441" spans="1:36" ht="15.75" customHeight="1" x14ac:dyDescent="0.3">
      <c r="A441" s="23"/>
      <c r="B441" s="23"/>
      <c r="C441" s="23"/>
      <c r="D441" s="23"/>
      <c r="E441" s="23"/>
      <c r="F441" s="23"/>
      <c r="G441" s="23"/>
      <c r="H441" s="95"/>
      <c r="I441" s="95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</row>
    <row r="442" spans="1:36" ht="15.75" customHeight="1" x14ac:dyDescent="0.3">
      <c r="A442" s="23"/>
      <c r="B442" s="23"/>
      <c r="C442" s="23"/>
      <c r="D442" s="23"/>
      <c r="E442" s="23"/>
      <c r="F442" s="23"/>
      <c r="G442" s="23"/>
      <c r="H442" s="95"/>
      <c r="I442" s="95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</row>
    <row r="443" spans="1:36" ht="15.75" customHeight="1" x14ac:dyDescent="0.3">
      <c r="A443" s="23"/>
      <c r="B443" s="23"/>
      <c r="C443" s="23"/>
      <c r="D443" s="23"/>
      <c r="E443" s="23"/>
      <c r="F443" s="23"/>
      <c r="G443" s="23"/>
      <c r="H443" s="95"/>
      <c r="I443" s="95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</row>
    <row r="444" spans="1:36" ht="15.75" customHeight="1" x14ac:dyDescent="0.3">
      <c r="A444" s="23"/>
      <c r="B444" s="23"/>
      <c r="C444" s="23"/>
      <c r="D444" s="23"/>
      <c r="E444" s="23"/>
      <c r="F444" s="23"/>
      <c r="G444" s="23"/>
      <c r="H444" s="95"/>
      <c r="I444" s="95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</row>
    <row r="445" spans="1:36" ht="15.75" customHeight="1" x14ac:dyDescent="0.3">
      <c r="A445" s="23"/>
      <c r="B445" s="23"/>
      <c r="C445" s="23"/>
      <c r="D445" s="23"/>
      <c r="E445" s="23"/>
      <c r="F445" s="23"/>
      <c r="G445" s="23"/>
      <c r="H445" s="95"/>
      <c r="I445" s="95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</row>
    <row r="446" spans="1:36" ht="15.75" customHeight="1" x14ac:dyDescent="0.3">
      <c r="A446" s="23"/>
      <c r="B446" s="23"/>
      <c r="C446" s="23"/>
      <c r="D446" s="23"/>
      <c r="E446" s="23"/>
      <c r="F446" s="23"/>
      <c r="G446" s="23"/>
      <c r="H446" s="95"/>
      <c r="I446" s="95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</row>
    <row r="447" spans="1:36" ht="15.75" customHeight="1" x14ac:dyDescent="0.3">
      <c r="A447" s="23"/>
      <c r="B447" s="23"/>
      <c r="C447" s="23"/>
      <c r="D447" s="23"/>
      <c r="E447" s="23"/>
      <c r="F447" s="23"/>
      <c r="G447" s="23"/>
      <c r="H447" s="95"/>
      <c r="I447" s="95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</row>
    <row r="448" spans="1:36" ht="15.75" customHeight="1" x14ac:dyDescent="0.3">
      <c r="A448" s="23"/>
      <c r="B448" s="23"/>
      <c r="C448" s="23"/>
      <c r="D448" s="23"/>
      <c r="E448" s="23"/>
      <c r="F448" s="23"/>
      <c r="G448" s="23"/>
      <c r="H448" s="95"/>
      <c r="I448" s="95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</row>
    <row r="449" spans="1:36" ht="15.75" customHeight="1" x14ac:dyDescent="0.3">
      <c r="A449" s="23"/>
      <c r="B449" s="23"/>
      <c r="C449" s="23"/>
      <c r="D449" s="23"/>
      <c r="E449" s="23"/>
      <c r="F449" s="23"/>
      <c r="G449" s="23"/>
      <c r="H449" s="95"/>
      <c r="I449" s="95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</row>
    <row r="450" spans="1:36" ht="15.75" customHeight="1" x14ac:dyDescent="0.3">
      <c r="A450" s="23"/>
      <c r="B450" s="23"/>
      <c r="C450" s="23"/>
      <c r="D450" s="23"/>
      <c r="E450" s="23"/>
      <c r="F450" s="23"/>
      <c r="G450" s="23"/>
      <c r="H450" s="95"/>
      <c r="I450" s="95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</row>
    <row r="451" spans="1:36" ht="15.75" customHeight="1" x14ac:dyDescent="0.3">
      <c r="A451" s="23"/>
      <c r="B451" s="23"/>
      <c r="C451" s="23"/>
      <c r="D451" s="23"/>
      <c r="E451" s="23"/>
      <c r="F451" s="23"/>
      <c r="G451" s="23"/>
      <c r="H451" s="95"/>
      <c r="I451" s="95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</row>
    <row r="452" spans="1:36" ht="15.75" customHeight="1" x14ac:dyDescent="0.3">
      <c r="A452" s="23"/>
      <c r="B452" s="23"/>
      <c r="C452" s="23"/>
      <c r="D452" s="23"/>
      <c r="E452" s="23"/>
      <c r="F452" s="23"/>
      <c r="G452" s="23"/>
      <c r="H452" s="95"/>
      <c r="I452" s="95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</row>
    <row r="453" spans="1:36" ht="15.75" customHeight="1" x14ac:dyDescent="0.3">
      <c r="A453" s="23"/>
      <c r="B453" s="23"/>
      <c r="C453" s="23"/>
      <c r="D453" s="23"/>
      <c r="E453" s="23"/>
      <c r="F453" s="23"/>
      <c r="G453" s="23"/>
      <c r="H453" s="95"/>
      <c r="I453" s="95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</row>
    <row r="454" spans="1:36" ht="15.75" customHeight="1" x14ac:dyDescent="0.3">
      <c r="A454" s="23"/>
      <c r="B454" s="23"/>
      <c r="C454" s="23"/>
      <c r="D454" s="23"/>
      <c r="E454" s="23"/>
      <c r="F454" s="23"/>
      <c r="G454" s="23"/>
      <c r="H454" s="95"/>
      <c r="I454" s="95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</row>
    <row r="455" spans="1:36" ht="15.75" customHeight="1" x14ac:dyDescent="0.3">
      <c r="A455" s="23"/>
      <c r="B455" s="23"/>
      <c r="C455" s="23"/>
      <c r="D455" s="23"/>
      <c r="E455" s="23"/>
      <c r="F455" s="23"/>
      <c r="G455" s="23"/>
      <c r="H455" s="95"/>
      <c r="I455" s="95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</row>
    <row r="456" spans="1:36" ht="15.75" customHeight="1" x14ac:dyDescent="0.3">
      <c r="A456" s="23"/>
      <c r="B456" s="23"/>
      <c r="C456" s="23"/>
      <c r="D456" s="23"/>
      <c r="E456" s="23"/>
      <c r="F456" s="23"/>
      <c r="G456" s="23"/>
      <c r="H456" s="95"/>
      <c r="I456" s="95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</row>
    <row r="457" spans="1:36" ht="15.75" customHeight="1" x14ac:dyDescent="0.3">
      <c r="A457" s="23"/>
      <c r="B457" s="23"/>
      <c r="C457" s="23"/>
      <c r="D457" s="23"/>
      <c r="E457" s="23"/>
      <c r="F457" s="23"/>
      <c r="G457" s="23"/>
      <c r="H457" s="95"/>
      <c r="I457" s="95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</row>
    <row r="458" spans="1:36" ht="15.75" customHeight="1" x14ac:dyDescent="0.3">
      <c r="A458" s="23"/>
      <c r="B458" s="23"/>
      <c r="C458" s="23"/>
      <c r="D458" s="23"/>
      <c r="E458" s="23"/>
      <c r="F458" s="23"/>
      <c r="G458" s="23"/>
      <c r="H458" s="95"/>
      <c r="I458" s="95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</row>
    <row r="459" spans="1:36" ht="15.75" customHeight="1" x14ac:dyDescent="0.3">
      <c r="A459" s="23"/>
      <c r="B459" s="23"/>
      <c r="C459" s="23"/>
      <c r="D459" s="23"/>
      <c r="E459" s="23"/>
      <c r="F459" s="23"/>
      <c r="G459" s="23"/>
      <c r="H459" s="95"/>
      <c r="I459" s="95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spans="1:36" ht="15.75" customHeight="1" x14ac:dyDescent="0.3">
      <c r="A460" s="23"/>
      <c r="B460" s="23"/>
      <c r="C460" s="23"/>
      <c r="D460" s="23"/>
      <c r="E460" s="23"/>
      <c r="F460" s="23"/>
      <c r="G460" s="23"/>
      <c r="H460" s="95"/>
      <c r="I460" s="95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spans="1:36" ht="15.75" customHeight="1" x14ac:dyDescent="0.3">
      <c r="A461" s="23"/>
      <c r="B461" s="23"/>
      <c r="C461" s="23"/>
      <c r="D461" s="23"/>
      <c r="E461" s="23"/>
      <c r="F461" s="23"/>
      <c r="G461" s="23"/>
      <c r="H461" s="95"/>
      <c r="I461" s="95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spans="1:36" ht="15.75" customHeight="1" x14ac:dyDescent="0.3">
      <c r="A462" s="23"/>
      <c r="B462" s="23"/>
      <c r="C462" s="23"/>
      <c r="D462" s="23"/>
      <c r="E462" s="23"/>
      <c r="F462" s="23"/>
      <c r="G462" s="23"/>
      <c r="H462" s="95"/>
      <c r="I462" s="95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spans="1:36" ht="15.75" customHeight="1" x14ac:dyDescent="0.3">
      <c r="A463" s="23"/>
      <c r="B463" s="23"/>
      <c r="C463" s="23"/>
      <c r="D463" s="23"/>
      <c r="E463" s="23"/>
      <c r="F463" s="23"/>
      <c r="G463" s="23"/>
      <c r="H463" s="95"/>
      <c r="I463" s="95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spans="1:36" ht="15.75" customHeight="1" x14ac:dyDescent="0.3">
      <c r="A464" s="23"/>
      <c r="B464" s="23"/>
      <c r="C464" s="23"/>
      <c r="D464" s="23"/>
      <c r="E464" s="23"/>
      <c r="F464" s="23"/>
      <c r="G464" s="23"/>
      <c r="H464" s="95"/>
      <c r="I464" s="95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spans="1:36" ht="15.75" customHeight="1" x14ac:dyDescent="0.3">
      <c r="A465" s="23"/>
      <c r="B465" s="23"/>
      <c r="C465" s="23"/>
      <c r="D465" s="23"/>
      <c r="E465" s="23"/>
      <c r="F465" s="23"/>
      <c r="G465" s="23"/>
      <c r="H465" s="95"/>
      <c r="I465" s="95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spans="1:36" ht="15.75" customHeight="1" x14ac:dyDescent="0.3">
      <c r="A466" s="23"/>
      <c r="B466" s="23"/>
      <c r="C466" s="23"/>
      <c r="D466" s="23"/>
      <c r="E466" s="23"/>
      <c r="F466" s="23"/>
      <c r="G466" s="23"/>
      <c r="H466" s="95"/>
      <c r="I466" s="95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spans="1:36" ht="15.75" customHeight="1" x14ac:dyDescent="0.3">
      <c r="A467" s="23"/>
      <c r="B467" s="23"/>
      <c r="C467" s="23"/>
      <c r="D467" s="23"/>
      <c r="E467" s="23"/>
      <c r="F467" s="23"/>
      <c r="G467" s="23"/>
      <c r="H467" s="95"/>
      <c r="I467" s="95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spans="1:36" ht="15.75" customHeight="1" x14ac:dyDescent="0.3">
      <c r="A468" s="23"/>
      <c r="B468" s="23"/>
      <c r="C468" s="23"/>
      <c r="D468" s="23"/>
      <c r="E468" s="23"/>
      <c r="F468" s="23"/>
      <c r="G468" s="23"/>
      <c r="H468" s="95"/>
      <c r="I468" s="95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spans="1:36" ht="15.75" customHeight="1" x14ac:dyDescent="0.3">
      <c r="A469" s="23"/>
      <c r="B469" s="23"/>
      <c r="C469" s="23"/>
      <c r="D469" s="23"/>
      <c r="E469" s="23"/>
      <c r="F469" s="23"/>
      <c r="G469" s="23"/>
      <c r="H469" s="95"/>
      <c r="I469" s="95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spans="1:36" ht="15.75" customHeight="1" x14ac:dyDescent="0.3">
      <c r="A470" s="23"/>
      <c r="B470" s="23"/>
      <c r="C470" s="23"/>
      <c r="D470" s="23"/>
      <c r="E470" s="23"/>
      <c r="F470" s="23"/>
      <c r="G470" s="23"/>
      <c r="H470" s="95"/>
      <c r="I470" s="95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spans="1:36" ht="15.75" customHeight="1" x14ac:dyDescent="0.3">
      <c r="A471" s="23"/>
      <c r="B471" s="23"/>
      <c r="C471" s="23"/>
      <c r="D471" s="23"/>
      <c r="E471" s="23"/>
      <c r="F471" s="23"/>
      <c r="G471" s="23"/>
      <c r="H471" s="95"/>
      <c r="I471" s="95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spans="1:36" ht="15.75" customHeight="1" x14ac:dyDescent="0.3">
      <c r="A472" s="23"/>
      <c r="B472" s="23"/>
      <c r="C472" s="23"/>
      <c r="D472" s="23"/>
      <c r="E472" s="23"/>
      <c r="F472" s="23"/>
      <c r="G472" s="23"/>
      <c r="H472" s="95"/>
      <c r="I472" s="95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spans="1:36" ht="15.75" customHeight="1" x14ac:dyDescent="0.3">
      <c r="A473" s="23"/>
      <c r="B473" s="23"/>
      <c r="C473" s="23"/>
      <c r="D473" s="23"/>
      <c r="E473" s="23"/>
      <c r="F473" s="23"/>
      <c r="G473" s="23"/>
      <c r="H473" s="95"/>
      <c r="I473" s="95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spans="1:36" ht="15.75" customHeight="1" x14ac:dyDescent="0.3">
      <c r="A474" s="23"/>
      <c r="B474" s="23"/>
      <c r="C474" s="23"/>
      <c r="D474" s="23"/>
      <c r="E474" s="23"/>
      <c r="F474" s="23"/>
      <c r="G474" s="23"/>
      <c r="H474" s="95"/>
      <c r="I474" s="95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spans="1:36" ht="15.75" customHeight="1" x14ac:dyDescent="0.3">
      <c r="A475" s="23"/>
      <c r="B475" s="23"/>
      <c r="C475" s="23"/>
      <c r="D475" s="23"/>
      <c r="E475" s="23"/>
      <c r="F475" s="23"/>
      <c r="G475" s="23"/>
      <c r="H475" s="95"/>
      <c r="I475" s="95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spans="1:36" ht="15.75" customHeight="1" x14ac:dyDescent="0.3">
      <c r="A476" s="23"/>
      <c r="B476" s="23"/>
      <c r="C476" s="23"/>
      <c r="D476" s="23"/>
      <c r="E476" s="23"/>
      <c r="F476" s="23"/>
      <c r="G476" s="23"/>
      <c r="H476" s="95"/>
      <c r="I476" s="95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spans="1:36" ht="15.75" customHeight="1" x14ac:dyDescent="0.3">
      <c r="A477" s="23"/>
      <c r="B477" s="23"/>
      <c r="C477" s="23"/>
      <c r="D477" s="23"/>
      <c r="E477" s="23"/>
      <c r="F477" s="23"/>
      <c r="G477" s="23"/>
      <c r="H477" s="95"/>
      <c r="I477" s="95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spans="1:36" ht="15.75" customHeight="1" x14ac:dyDescent="0.3">
      <c r="A478" s="23"/>
      <c r="B478" s="23"/>
      <c r="C478" s="23"/>
      <c r="D478" s="23"/>
      <c r="E478" s="23"/>
      <c r="F478" s="23"/>
      <c r="G478" s="23"/>
      <c r="H478" s="95"/>
      <c r="I478" s="95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spans="1:36" ht="15.75" customHeight="1" x14ac:dyDescent="0.3">
      <c r="A479" s="23"/>
      <c r="B479" s="23"/>
      <c r="C479" s="23"/>
      <c r="D479" s="23"/>
      <c r="E479" s="23"/>
      <c r="F479" s="23"/>
      <c r="G479" s="23"/>
      <c r="H479" s="95"/>
      <c r="I479" s="95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spans="1:36" ht="15.75" customHeight="1" x14ac:dyDescent="0.3">
      <c r="A480" s="23"/>
      <c r="B480" s="23"/>
      <c r="C480" s="23"/>
      <c r="D480" s="23"/>
      <c r="E480" s="23"/>
      <c r="F480" s="23"/>
      <c r="G480" s="23"/>
      <c r="H480" s="95"/>
      <c r="I480" s="95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spans="1:36" ht="15.75" customHeight="1" x14ac:dyDescent="0.3">
      <c r="A481" s="23"/>
      <c r="B481" s="23"/>
      <c r="C481" s="23"/>
      <c r="D481" s="23"/>
      <c r="E481" s="23"/>
      <c r="F481" s="23"/>
      <c r="G481" s="23"/>
      <c r="H481" s="95"/>
      <c r="I481" s="95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spans="1:36" ht="15.75" customHeight="1" x14ac:dyDescent="0.3">
      <c r="A482" s="23"/>
      <c r="B482" s="23"/>
      <c r="C482" s="23"/>
      <c r="D482" s="23"/>
      <c r="E482" s="23"/>
      <c r="F482" s="23"/>
      <c r="G482" s="23"/>
      <c r="H482" s="95"/>
      <c r="I482" s="95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spans="1:36" ht="15.75" customHeight="1" x14ac:dyDescent="0.3">
      <c r="A483" s="23"/>
      <c r="B483" s="23"/>
      <c r="C483" s="23"/>
      <c r="D483" s="23"/>
      <c r="E483" s="23"/>
      <c r="F483" s="23"/>
      <c r="G483" s="23"/>
      <c r="H483" s="95"/>
      <c r="I483" s="95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spans="1:36" ht="15.75" customHeight="1" x14ac:dyDescent="0.3">
      <c r="A484" s="23"/>
      <c r="B484" s="23"/>
      <c r="C484" s="23"/>
      <c r="D484" s="23"/>
      <c r="E484" s="23"/>
      <c r="F484" s="23"/>
      <c r="G484" s="23"/>
      <c r="H484" s="95"/>
      <c r="I484" s="95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spans="1:36" ht="15.75" customHeight="1" x14ac:dyDescent="0.3">
      <c r="A485" s="23"/>
      <c r="B485" s="23"/>
      <c r="C485" s="23"/>
      <c r="D485" s="23"/>
      <c r="E485" s="23"/>
      <c r="F485" s="23"/>
      <c r="G485" s="23"/>
      <c r="H485" s="95"/>
      <c r="I485" s="95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spans="1:36" ht="15.75" customHeight="1" x14ac:dyDescent="0.3">
      <c r="A486" s="23"/>
      <c r="B486" s="23"/>
      <c r="C486" s="23"/>
      <c r="D486" s="23"/>
      <c r="E486" s="23"/>
      <c r="F486" s="23"/>
      <c r="G486" s="23"/>
      <c r="H486" s="95"/>
      <c r="I486" s="95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spans="1:36" ht="15.75" customHeight="1" x14ac:dyDescent="0.3">
      <c r="A487" s="23"/>
      <c r="B487" s="23"/>
      <c r="C487" s="23"/>
      <c r="D487" s="23"/>
      <c r="E487" s="23"/>
      <c r="F487" s="23"/>
      <c r="G487" s="23"/>
      <c r="H487" s="95"/>
      <c r="I487" s="95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spans="1:36" ht="15.75" customHeight="1" x14ac:dyDescent="0.3">
      <c r="A488" s="23"/>
      <c r="B488" s="23"/>
      <c r="C488" s="23"/>
      <c r="D488" s="23"/>
      <c r="E488" s="23"/>
      <c r="F488" s="23"/>
      <c r="G488" s="23"/>
      <c r="H488" s="95"/>
      <c r="I488" s="95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spans="1:36" ht="15.75" customHeight="1" x14ac:dyDescent="0.3">
      <c r="A489" s="23"/>
      <c r="B489" s="23"/>
      <c r="C489" s="23"/>
      <c r="D489" s="23"/>
      <c r="E489" s="23"/>
      <c r="F489" s="23"/>
      <c r="G489" s="23"/>
      <c r="H489" s="95"/>
      <c r="I489" s="95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spans="1:36" ht="15.75" customHeight="1" x14ac:dyDescent="0.3">
      <c r="A490" s="23"/>
      <c r="B490" s="23"/>
      <c r="C490" s="23"/>
      <c r="D490" s="23"/>
      <c r="E490" s="23"/>
      <c r="F490" s="23"/>
      <c r="G490" s="23"/>
      <c r="H490" s="95"/>
      <c r="I490" s="95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spans="1:36" ht="15.75" customHeight="1" x14ac:dyDescent="0.3">
      <c r="A491" s="23"/>
      <c r="B491" s="23"/>
      <c r="C491" s="23"/>
      <c r="D491" s="23"/>
      <c r="E491" s="23"/>
      <c r="F491" s="23"/>
      <c r="G491" s="23"/>
      <c r="H491" s="95"/>
      <c r="I491" s="95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spans="1:36" ht="15.75" customHeight="1" x14ac:dyDescent="0.3">
      <c r="A492" s="23"/>
      <c r="B492" s="23"/>
      <c r="C492" s="23"/>
      <c r="D492" s="23"/>
      <c r="E492" s="23"/>
      <c r="F492" s="23"/>
      <c r="G492" s="23"/>
      <c r="H492" s="95"/>
      <c r="I492" s="95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spans="1:36" ht="15.75" customHeight="1" x14ac:dyDescent="0.3">
      <c r="A493" s="23"/>
      <c r="B493" s="23"/>
      <c r="C493" s="23"/>
      <c r="D493" s="23"/>
      <c r="E493" s="23"/>
      <c r="F493" s="23"/>
      <c r="G493" s="23"/>
      <c r="H493" s="95"/>
      <c r="I493" s="95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spans="1:36" ht="15.75" customHeight="1" x14ac:dyDescent="0.3">
      <c r="A494" s="23"/>
      <c r="B494" s="23"/>
      <c r="C494" s="23"/>
      <c r="D494" s="23"/>
      <c r="E494" s="23"/>
      <c r="F494" s="23"/>
      <c r="G494" s="23"/>
      <c r="H494" s="95"/>
      <c r="I494" s="95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spans="1:36" ht="15.75" customHeight="1" x14ac:dyDescent="0.3">
      <c r="A495" s="23"/>
      <c r="B495" s="23"/>
      <c r="C495" s="23"/>
      <c r="D495" s="23"/>
      <c r="E495" s="23"/>
      <c r="F495" s="23"/>
      <c r="G495" s="23"/>
      <c r="H495" s="95"/>
      <c r="I495" s="95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spans="1:36" ht="15.75" customHeight="1" x14ac:dyDescent="0.3">
      <c r="A496" s="23"/>
      <c r="B496" s="23"/>
      <c r="C496" s="23"/>
      <c r="D496" s="23"/>
      <c r="E496" s="23"/>
      <c r="F496" s="23"/>
      <c r="G496" s="23"/>
      <c r="H496" s="95"/>
      <c r="I496" s="95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spans="1:36" ht="15.75" customHeight="1" x14ac:dyDescent="0.3">
      <c r="A497" s="23"/>
      <c r="B497" s="23"/>
      <c r="C497" s="23"/>
      <c r="D497" s="23"/>
      <c r="E497" s="23"/>
      <c r="F497" s="23"/>
      <c r="G497" s="23"/>
      <c r="H497" s="95"/>
      <c r="I497" s="95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spans="1:36" ht="15.75" customHeight="1" x14ac:dyDescent="0.3">
      <c r="A498" s="23"/>
      <c r="B498" s="23"/>
      <c r="C498" s="23"/>
      <c r="D498" s="23"/>
      <c r="E498" s="23"/>
      <c r="F498" s="23"/>
      <c r="G498" s="23"/>
      <c r="H498" s="95"/>
      <c r="I498" s="95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spans="1:36" ht="15.75" customHeight="1" x14ac:dyDescent="0.3">
      <c r="A499" s="23"/>
      <c r="B499" s="23"/>
      <c r="C499" s="23"/>
      <c r="D499" s="23"/>
      <c r="E499" s="23"/>
      <c r="F499" s="23"/>
      <c r="G499" s="23"/>
      <c r="H499" s="95"/>
      <c r="I499" s="95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spans="1:36" ht="15.75" customHeight="1" x14ac:dyDescent="0.3">
      <c r="A500" s="23"/>
      <c r="B500" s="23"/>
      <c r="C500" s="23"/>
      <c r="D500" s="23"/>
      <c r="E500" s="23"/>
      <c r="F500" s="23"/>
      <c r="G500" s="23"/>
      <c r="H500" s="95"/>
      <c r="I500" s="95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spans="1:36" ht="15.75" customHeight="1" x14ac:dyDescent="0.3">
      <c r="A501" s="23"/>
      <c r="B501" s="23"/>
      <c r="C501" s="23"/>
      <c r="D501" s="23"/>
      <c r="E501" s="23"/>
      <c r="F501" s="23"/>
      <c r="G501" s="23"/>
      <c r="H501" s="95"/>
      <c r="I501" s="95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</row>
    <row r="502" spans="1:36" ht="15.75" customHeight="1" x14ac:dyDescent="0.3">
      <c r="A502" s="23"/>
      <c r="B502" s="23"/>
      <c r="C502" s="23"/>
      <c r="D502" s="23"/>
      <c r="E502" s="23"/>
      <c r="F502" s="23"/>
      <c r="G502" s="23"/>
      <c r="H502" s="95"/>
      <c r="I502" s="95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</row>
    <row r="503" spans="1:36" ht="15.75" customHeight="1" x14ac:dyDescent="0.3">
      <c r="A503" s="23"/>
      <c r="B503" s="23"/>
      <c r="C503" s="23"/>
      <c r="D503" s="23"/>
      <c r="E503" s="23"/>
      <c r="F503" s="23"/>
      <c r="G503" s="23"/>
      <c r="H503" s="95"/>
      <c r="I503" s="95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</row>
    <row r="504" spans="1:36" ht="15.75" customHeight="1" x14ac:dyDescent="0.3">
      <c r="A504" s="23"/>
      <c r="B504" s="23"/>
      <c r="C504" s="23"/>
      <c r="D504" s="23"/>
      <c r="E504" s="23"/>
      <c r="F504" s="23"/>
      <c r="G504" s="23"/>
      <c r="H504" s="95"/>
      <c r="I504" s="95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</row>
    <row r="505" spans="1:36" ht="15.75" customHeight="1" x14ac:dyDescent="0.3">
      <c r="A505" s="23"/>
      <c r="B505" s="23"/>
      <c r="C505" s="23"/>
      <c r="D505" s="23"/>
      <c r="E505" s="23"/>
      <c r="F505" s="23"/>
      <c r="G505" s="23"/>
      <c r="H505" s="95"/>
      <c r="I505" s="95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</row>
    <row r="506" spans="1:36" ht="15.75" customHeight="1" x14ac:dyDescent="0.3">
      <c r="A506" s="23"/>
      <c r="B506" s="23"/>
      <c r="C506" s="23"/>
      <c r="D506" s="23"/>
      <c r="E506" s="23"/>
      <c r="F506" s="23"/>
      <c r="G506" s="23"/>
      <c r="H506" s="95"/>
      <c r="I506" s="95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</row>
    <row r="507" spans="1:36" ht="15.75" customHeight="1" x14ac:dyDescent="0.3">
      <c r="A507" s="23"/>
      <c r="B507" s="23"/>
      <c r="C507" s="23"/>
      <c r="D507" s="23"/>
      <c r="E507" s="23"/>
      <c r="F507" s="23"/>
      <c r="G507" s="23"/>
      <c r="H507" s="95"/>
      <c r="I507" s="95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</row>
    <row r="508" spans="1:36" ht="15.75" customHeight="1" x14ac:dyDescent="0.3">
      <c r="A508" s="23"/>
      <c r="B508" s="23"/>
      <c r="C508" s="23"/>
      <c r="D508" s="23"/>
      <c r="E508" s="23"/>
      <c r="F508" s="23"/>
      <c r="G508" s="23"/>
      <c r="H508" s="95"/>
      <c r="I508" s="95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</row>
    <row r="509" spans="1:36" ht="15.75" customHeight="1" x14ac:dyDescent="0.3">
      <c r="A509" s="23"/>
      <c r="B509" s="23"/>
      <c r="C509" s="23"/>
      <c r="D509" s="23"/>
      <c r="E509" s="23"/>
      <c r="F509" s="23"/>
      <c r="G509" s="23"/>
      <c r="H509" s="95"/>
      <c r="I509" s="95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</row>
    <row r="510" spans="1:36" ht="15.75" customHeight="1" x14ac:dyDescent="0.3">
      <c r="A510" s="23"/>
      <c r="B510" s="23"/>
      <c r="C510" s="23"/>
      <c r="D510" s="23"/>
      <c r="E510" s="23"/>
      <c r="F510" s="23"/>
      <c r="G510" s="23"/>
      <c r="H510" s="95"/>
      <c r="I510" s="95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</row>
    <row r="511" spans="1:36" ht="15.75" customHeight="1" x14ac:dyDescent="0.3">
      <c r="A511" s="23"/>
      <c r="B511" s="23"/>
      <c r="C511" s="23"/>
      <c r="D511" s="23"/>
      <c r="E511" s="23"/>
      <c r="F511" s="23"/>
      <c r="G511" s="23"/>
      <c r="H511" s="95"/>
      <c r="I511" s="95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</row>
    <row r="512" spans="1:36" ht="15.75" customHeight="1" x14ac:dyDescent="0.3">
      <c r="A512" s="23"/>
      <c r="B512" s="23"/>
      <c r="C512" s="23"/>
      <c r="D512" s="23"/>
      <c r="E512" s="23"/>
      <c r="F512" s="23"/>
      <c r="G512" s="23"/>
      <c r="H512" s="95"/>
      <c r="I512" s="95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</row>
    <row r="513" spans="1:36" ht="15.75" customHeight="1" x14ac:dyDescent="0.3">
      <c r="A513" s="23"/>
      <c r="B513" s="23"/>
      <c r="C513" s="23"/>
      <c r="D513" s="23"/>
      <c r="E513" s="23"/>
      <c r="F513" s="23"/>
      <c r="G513" s="23"/>
      <c r="H513" s="95"/>
      <c r="I513" s="95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</row>
    <row r="514" spans="1:36" ht="15.75" customHeight="1" x14ac:dyDescent="0.3">
      <c r="A514" s="23"/>
      <c r="B514" s="23"/>
      <c r="C514" s="23"/>
      <c r="D514" s="23"/>
      <c r="E514" s="23"/>
      <c r="F514" s="23"/>
      <c r="G514" s="23"/>
      <c r="H514" s="95"/>
      <c r="I514" s="95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</row>
    <row r="515" spans="1:36" ht="15.75" customHeight="1" x14ac:dyDescent="0.3">
      <c r="A515" s="23"/>
      <c r="B515" s="23"/>
      <c r="C515" s="23"/>
      <c r="D515" s="23"/>
      <c r="E515" s="23"/>
      <c r="F515" s="23"/>
      <c r="G515" s="23"/>
      <c r="H515" s="95"/>
      <c r="I515" s="95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</row>
    <row r="516" spans="1:36" ht="15.75" customHeight="1" x14ac:dyDescent="0.3">
      <c r="A516" s="23"/>
      <c r="B516" s="23"/>
      <c r="C516" s="23"/>
      <c r="D516" s="23"/>
      <c r="E516" s="23"/>
      <c r="F516" s="23"/>
      <c r="G516" s="23"/>
      <c r="H516" s="95"/>
      <c r="I516" s="95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</row>
    <row r="517" spans="1:36" ht="15.75" customHeight="1" x14ac:dyDescent="0.3">
      <c r="A517" s="23"/>
      <c r="B517" s="23"/>
      <c r="C517" s="23"/>
      <c r="D517" s="23"/>
      <c r="E517" s="23"/>
      <c r="F517" s="23"/>
      <c r="G517" s="23"/>
      <c r="H517" s="95"/>
      <c r="I517" s="95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</row>
    <row r="518" spans="1:36" ht="15.75" customHeight="1" x14ac:dyDescent="0.3">
      <c r="A518" s="23"/>
      <c r="B518" s="23"/>
      <c r="C518" s="23"/>
      <c r="D518" s="23"/>
      <c r="E518" s="23"/>
      <c r="F518" s="23"/>
      <c r="G518" s="23"/>
      <c r="H518" s="95"/>
      <c r="I518" s="95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</row>
    <row r="519" spans="1:36" ht="15.75" customHeight="1" x14ac:dyDescent="0.3">
      <c r="A519" s="23"/>
      <c r="B519" s="23"/>
      <c r="C519" s="23"/>
      <c r="D519" s="23"/>
      <c r="E519" s="23"/>
      <c r="F519" s="23"/>
      <c r="G519" s="23"/>
      <c r="H519" s="95"/>
      <c r="I519" s="95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</row>
    <row r="520" spans="1:36" ht="15.75" customHeight="1" x14ac:dyDescent="0.3">
      <c r="A520" s="23"/>
      <c r="B520" s="23"/>
      <c r="C520" s="23"/>
      <c r="D520" s="23"/>
      <c r="E520" s="23"/>
      <c r="F520" s="23"/>
      <c r="G520" s="23"/>
      <c r="H520" s="95"/>
      <c r="I520" s="95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</row>
    <row r="521" spans="1:36" ht="15.75" customHeight="1" x14ac:dyDescent="0.3">
      <c r="A521" s="23"/>
      <c r="B521" s="23"/>
      <c r="C521" s="23"/>
      <c r="D521" s="23"/>
      <c r="E521" s="23"/>
      <c r="F521" s="23"/>
      <c r="G521" s="23"/>
      <c r="H521" s="95"/>
      <c r="I521" s="95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</row>
    <row r="522" spans="1:36" ht="15.75" customHeight="1" x14ac:dyDescent="0.3">
      <c r="A522" s="23"/>
      <c r="B522" s="23"/>
      <c r="C522" s="23"/>
      <c r="D522" s="23"/>
      <c r="E522" s="23"/>
      <c r="F522" s="23"/>
      <c r="G522" s="23"/>
      <c r="H522" s="95"/>
      <c r="I522" s="95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</row>
    <row r="523" spans="1:36" ht="15.75" customHeight="1" x14ac:dyDescent="0.3">
      <c r="A523" s="23"/>
      <c r="B523" s="23"/>
      <c r="C523" s="23"/>
      <c r="D523" s="23"/>
      <c r="E523" s="23"/>
      <c r="F523" s="23"/>
      <c r="G523" s="23"/>
      <c r="H523" s="95"/>
      <c r="I523" s="95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</row>
    <row r="524" spans="1:36" ht="15.75" customHeight="1" x14ac:dyDescent="0.3">
      <c r="A524" s="23"/>
      <c r="B524" s="23"/>
      <c r="C524" s="23"/>
      <c r="D524" s="23"/>
      <c r="E524" s="23"/>
      <c r="F524" s="23"/>
      <c r="G524" s="23"/>
      <c r="H524" s="95"/>
      <c r="I524" s="95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</row>
    <row r="525" spans="1:36" ht="15.75" customHeight="1" x14ac:dyDescent="0.3">
      <c r="A525" s="23"/>
      <c r="B525" s="23"/>
      <c r="C525" s="23"/>
      <c r="D525" s="23"/>
      <c r="E525" s="23"/>
      <c r="F525" s="23"/>
      <c r="G525" s="23"/>
      <c r="H525" s="95"/>
      <c r="I525" s="95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</row>
    <row r="526" spans="1:36" ht="15.75" customHeight="1" x14ac:dyDescent="0.3">
      <c r="A526" s="23"/>
      <c r="B526" s="23"/>
      <c r="C526" s="23"/>
      <c r="D526" s="23"/>
      <c r="E526" s="23"/>
      <c r="F526" s="23"/>
      <c r="G526" s="23"/>
      <c r="H526" s="95"/>
      <c r="I526" s="95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</row>
    <row r="527" spans="1:36" ht="15.75" customHeight="1" x14ac:dyDescent="0.3">
      <c r="A527" s="23"/>
      <c r="B527" s="23"/>
      <c r="C527" s="23"/>
      <c r="D527" s="23"/>
      <c r="E527" s="23"/>
      <c r="F527" s="23"/>
      <c r="G527" s="23"/>
      <c r="H527" s="95"/>
      <c r="I527" s="95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</row>
    <row r="528" spans="1:36" ht="15.75" customHeight="1" x14ac:dyDescent="0.3">
      <c r="A528" s="23"/>
      <c r="B528" s="23"/>
      <c r="C528" s="23"/>
      <c r="D528" s="23"/>
      <c r="E528" s="23"/>
      <c r="F528" s="23"/>
      <c r="G528" s="23"/>
      <c r="H528" s="95"/>
      <c r="I528" s="95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</row>
    <row r="529" spans="1:36" ht="15.75" customHeight="1" x14ac:dyDescent="0.3">
      <c r="A529" s="23"/>
      <c r="B529" s="23"/>
      <c r="C529" s="23"/>
      <c r="D529" s="23"/>
      <c r="E529" s="23"/>
      <c r="F529" s="23"/>
      <c r="G529" s="23"/>
      <c r="H529" s="95"/>
      <c r="I529" s="95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</row>
    <row r="530" spans="1:36" ht="15.75" customHeight="1" x14ac:dyDescent="0.3">
      <c r="A530" s="23"/>
      <c r="B530" s="23"/>
      <c r="C530" s="23"/>
      <c r="D530" s="23"/>
      <c r="E530" s="23"/>
      <c r="F530" s="23"/>
      <c r="G530" s="23"/>
      <c r="H530" s="95"/>
      <c r="I530" s="95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</row>
    <row r="531" spans="1:36" ht="15.75" customHeight="1" x14ac:dyDescent="0.3">
      <c r="A531" s="23"/>
      <c r="B531" s="23"/>
      <c r="C531" s="23"/>
      <c r="D531" s="23"/>
      <c r="E531" s="23"/>
      <c r="F531" s="23"/>
      <c r="G531" s="23"/>
      <c r="H531" s="95"/>
      <c r="I531" s="95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</row>
    <row r="532" spans="1:36" ht="15.75" customHeight="1" x14ac:dyDescent="0.3">
      <c r="A532" s="23"/>
      <c r="B532" s="23"/>
      <c r="C532" s="23"/>
      <c r="D532" s="23"/>
      <c r="E532" s="23"/>
      <c r="F532" s="23"/>
      <c r="G532" s="23"/>
      <c r="H532" s="95"/>
      <c r="I532" s="95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</row>
    <row r="533" spans="1:36" ht="15.75" customHeight="1" x14ac:dyDescent="0.3">
      <c r="A533" s="23"/>
      <c r="B533" s="23"/>
      <c r="C533" s="23"/>
      <c r="D533" s="23"/>
      <c r="E533" s="23"/>
      <c r="F533" s="23"/>
      <c r="G533" s="23"/>
      <c r="H533" s="95"/>
      <c r="I533" s="95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</row>
    <row r="534" spans="1:36" ht="15.75" customHeight="1" x14ac:dyDescent="0.3">
      <c r="A534" s="23"/>
      <c r="B534" s="23"/>
      <c r="C534" s="23"/>
      <c r="D534" s="23"/>
      <c r="E534" s="23"/>
      <c r="F534" s="23"/>
      <c r="G534" s="23"/>
      <c r="H534" s="95"/>
      <c r="I534" s="95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</row>
    <row r="535" spans="1:36" ht="15.75" customHeight="1" x14ac:dyDescent="0.3">
      <c r="A535" s="23"/>
      <c r="B535" s="23"/>
      <c r="C535" s="23"/>
      <c r="D535" s="23"/>
      <c r="E535" s="23"/>
      <c r="F535" s="23"/>
      <c r="G535" s="23"/>
      <c r="H535" s="95"/>
      <c r="I535" s="95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</row>
    <row r="536" spans="1:36" ht="15.75" customHeight="1" x14ac:dyDescent="0.3">
      <c r="A536" s="23"/>
      <c r="B536" s="23"/>
      <c r="C536" s="23"/>
      <c r="D536" s="23"/>
      <c r="E536" s="23"/>
      <c r="F536" s="23"/>
      <c r="G536" s="23"/>
      <c r="H536" s="95"/>
      <c r="I536" s="95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</row>
    <row r="537" spans="1:36" ht="15.75" customHeight="1" x14ac:dyDescent="0.3">
      <c r="A537" s="23"/>
      <c r="B537" s="23"/>
      <c r="C537" s="23"/>
      <c r="D537" s="23"/>
      <c r="E537" s="23"/>
      <c r="F537" s="23"/>
      <c r="G537" s="23"/>
      <c r="H537" s="95"/>
      <c r="I537" s="95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</row>
    <row r="538" spans="1:36" ht="15.75" customHeight="1" x14ac:dyDescent="0.3">
      <c r="A538" s="23"/>
      <c r="B538" s="23"/>
      <c r="C538" s="23"/>
      <c r="D538" s="23"/>
      <c r="E538" s="23"/>
      <c r="F538" s="23"/>
      <c r="G538" s="23"/>
      <c r="H538" s="95"/>
      <c r="I538" s="95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</row>
    <row r="539" spans="1:36" ht="15.75" customHeight="1" x14ac:dyDescent="0.3">
      <c r="A539" s="23"/>
      <c r="B539" s="23"/>
      <c r="C539" s="23"/>
      <c r="D539" s="23"/>
      <c r="E539" s="23"/>
      <c r="F539" s="23"/>
      <c r="G539" s="23"/>
      <c r="H539" s="95"/>
      <c r="I539" s="95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</row>
    <row r="540" spans="1:36" ht="15.75" customHeight="1" x14ac:dyDescent="0.3">
      <c r="A540" s="23"/>
      <c r="B540" s="23"/>
      <c r="C540" s="23"/>
      <c r="D540" s="23"/>
      <c r="E540" s="23"/>
      <c r="F540" s="23"/>
      <c r="G540" s="23"/>
      <c r="H540" s="95"/>
      <c r="I540" s="95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</row>
    <row r="541" spans="1:36" ht="15.75" customHeight="1" x14ac:dyDescent="0.3">
      <c r="A541" s="23"/>
      <c r="B541" s="23"/>
      <c r="C541" s="23"/>
      <c r="D541" s="23"/>
      <c r="E541" s="23"/>
      <c r="F541" s="23"/>
      <c r="G541" s="23"/>
      <c r="H541" s="95"/>
      <c r="I541" s="95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</row>
    <row r="542" spans="1:36" ht="15.75" customHeight="1" x14ac:dyDescent="0.3">
      <c r="A542" s="23"/>
      <c r="B542" s="23"/>
      <c r="C542" s="23"/>
      <c r="D542" s="23"/>
      <c r="E542" s="23"/>
      <c r="F542" s="23"/>
      <c r="G542" s="23"/>
      <c r="H542" s="95"/>
      <c r="I542" s="95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</row>
    <row r="543" spans="1:36" ht="15.75" customHeight="1" x14ac:dyDescent="0.3">
      <c r="A543" s="23"/>
      <c r="B543" s="23"/>
      <c r="C543" s="23"/>
      <c r="D543" s="23"/>
      <c r="E543" s="23"/>
      <c r="F543" s="23"/>
      <c r="G543" s="23"/>
      <c r="H543" s="95"/>
      <c r="I543" s="95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</row>
    <row r="544" spans="1:36" ht="15.75" customHeight="1" x14ac:dyDescent="0.3">
      <c r="A544" s="23"/>
      <c r="B544" s="23"/>
      <c r="C544" s="23"/>
      <c r="D544" s="23"/>
      <c r="E544" s="23"/>
      <c r="F544" s="23"/>
      <c r="G544" s="23"/>
      <c r="H544" s="95"/>
      <c r="I544" s="95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</row>
    <row r="545" spans="1:36" ht="15.75" customHeight="1" x14ac:dyDescent="0.3">
      <c r="A545" s="23"/>
      <c r="B545" s="23"/>
      <c r="C545" s="23"/>
      <c r="D545" s="23"/>
      <c r="E545" s="23"/>
      <c r="F545" s="23"/>
      <c r="G545" s="23"/>
      <c r="H545" s="95"/>
      <c r="I545" s="95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</row>
    <row r="546" spans="1:36" ht="15.75" customHeight="1" x14ac:dyDescent="0.3">
      <c r="A546" s="23"/>
      <c r="B546" s="23"/>
      <c r="C546" s="23"/>
      <c r="D546" s="23"/>
      <c r="E546" s="23"/>
      <c r="F546" s="23"/>
      <c r="G546" s="23"/>
      <c r="H546" s="95"/>
      <c r="I546" s="95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</row>
    <row r="547" spans="1:36" ht="15.75" customHeight="1" x14ac:dyDescent="0.3">
      <c r="A547" s="23"/>
      <c r="B547" s="23"/>
      <c r="C547" s="23"/>
      <c r="D547" s="23"/>
      <c r="E547" s="23"/>
      <c r="F547" s="23"/>
      <c r="G547" s="23"/>
      <c r="H547" s="95"/>
      <c r="I547" s="95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</row>
    <row r="548" spans="1:36" ht="15.75" customHeight="1" x14ac:dyDescent="0.3">
      <c r="A548" s="23"/>
      <c r="B548" s="23"/>
      <c r="C548" s="23"/>
      <c r="D548" s="23"/>
      <c r="E548" s="23"/>
      <c r="F548" s="23"/>
      <c r="G548" s="23"/>
      <c r="H548" s="95"/>
      <c r="I548" s="95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</row>
    <row r="549" spans="1:36" ht="15.75" customHeight="1" x14ac:dyDescent="0.3">
      <c r="A549" s="23"/>
      <c r="B549" s="23"/>
      <c r="C549" s="23"/>
      <c r="D549" s="23"/>
      <c r="E549" s="23"/>
      <c r="F549" s="23"/>
      <c r="G549" s="23"/>
      <c r="H549" s="95"/>
      <c r="I549" s="95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</row>
    <row r="550" spans="1:36" ht="15.75" customHeight="1" x14ac:dyDescent="0.3">
      <c r="A550" s="23"/>
      <c r="B550" s="23"/>
      <c r="C550" s="23"/>
      <c r="D550" s="23"/>
      <c r="E550" s="23"/>
      <c r="F550" s="23"/>
      <c r="G550" s="23"/>
      <c r="H550" s="95"/>
      <c r="I550" s="95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</row>
    <row r="551" spans="1:36" ht="15.75" customHeight="1" x14ac:dyDescent="0.3">
      <c r="A551" s="23"/>
      <c r="B551" s="23"/>
      <c r="C551" s="23"/>
      <c r="D551" s="23"/>
      <c r="E551" s="23"/>
      <c r="F551" s="23"/>
      <c r="G551" s="23"/>
      <c r="H551" s="95"/>
      <c r="I551" s="95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</row>
    <row r="552" spans="1:36" ht="15.75" customHeight="1" x14ac:dyDescent="0.3">
      <c r="A552" s="23"/>
      <c r="B552" s="23"/>
      <c r="C552" s="23"/>
      <c r="D552" s="23"/>
      <c r="E552" s="23"/>
      <c r="F552" s="23"/>
      <c r="G552" s="23"/>
      <c r="H552" s="95"/>
      <c r="I552" s="95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</row>
    <row r="553" spans="1:36" ht="15.75" customHeight="1" x14ac:dyDescent="0.3">
      <c r="A553" s="23"/>
      <c r="B553" s="23"/>
      <c r="C553" s="23"/>
      <c r="D553" s="23"/>
      <c r="E553" s="23"/>
      <c r="F553" s="23"/>
      <c r="G553" s="23"/>
      <c r="H553" s="95"/>
      <c r="I553" s="95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</row>
    <row r="554" spans="1:36" ht="15.75" customHeight="1" x14ac:dyDescent="0.3">
      <c r="A554" s="23"/>
      <c r="B554" s="23"/>
      <c r="C554" s="23"/>
      <c r="D554" s="23"/>
      <c r="E554" s="23"/>
      <c r="F554" s="23"/>
      <c r="G554" s="23"/>
      <c r="H554" s="95"/>
      <c r="I554" s="95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</row>
    <row r="555" spans="1:36" ht="15.75" customHeight="1" x14ac:dyDescent="0.3">
      <c r="A555" s="23"/>
      <c r="B555" s="23"/>
      <c r="C555" s="23"/>
      <c r="D555" s="23"/>
      <c r="E555" s="23"/>
      <c r="F555" s="23"/>
      <c r="G555" s="23"/>
      <c r="H555" s="95"/>
      <c r="I555" s="95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</row>
    <row r="556" spans="1:36" ht="15.75" customHeight="1" x14ac:dyDescent="0.3">
      <c r="A556" s="23"/>
      <c r="B556" s="23"/>
      <c r="C556" s="23"/>
      <c r="D556" s="23"/>
      <c r="E556" s="23"/>
      <c r="F556" s="23"/>
      <c r="G556" s="23"/>
      <c r="H556" s="95"/>
      <c r="I556" s="95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</row>
    <row r="557" spans="1:36" ht="15.75" customHeight="1" x14ac:dyDescent="0.3">
      <c r="A557" s="23"/>
      <c r="B557" s="23"/>
      <c r="C557" s="23"/>
      <c r="D557" s="23"/>
      <c r="E557" s="23"/>
      <c r="F557" s="23"/>
      <c r="G557" s="23"/>
      <c r="H557" s="95"/>
      <c r="I557" s="95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</row>
    <row r="558" spans="1:36" ht="15.75" customHeight="1" x14ac:dyDescent="0.3">
      <c r="A558" s="23"/>
      <c r="B558" s="23"/>
      <c r="C558" s="23"/>
      <c r="D558" s="23"/>
      <c r="E558" s="23"/>
      <c r="F558" s="23"/>
      <c r="G558" s="23"/>
      <c r="H558" s="95"/>
      <c r="I558" s="95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</row>
    <row r="559" spans="1:36" ht="15.75" customHeight="1" x14ac:dyDescent="0.3">
      <c r="A559" s="23"/>
      <c r="B559" s="23"/>
      <c r="C559" s="23"/>
      <c r="D559" s="23"/>
      <c r="E559" s="23"/>
      <c r="F559" s="23"/>
      <c r="G559" s="23"/>
      <c r="H559" s="95"/>
      <c r="I559" s="95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</row>
    <row r="560" spans="1:36" ht="15.75" customHeight="1" x14ac:dyDescent="0.3">
      <c r="A560" s="23"/>
      <c r="B560" s="23"/>
      <c r="C560" s="23"/>
      <c r="D560" s="23"/>
      <c r="E560" s="23"/>
      <c r="F560" s="23"/>
      <c r="G560" s="23"/>
      <c r="H560" s="95"/>
      <c r="I560" s="95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</row>
    <row r="561" spans="1:36" ht="15.75" customHeight="1" x14ac:dyDescent="0.3">
      <c r="A561" s="23"/>
      <c r="B561" s="23"/>
      <c r="C561" s="23"/>
      <c r="D561" s="23"/>
      <c r="E561" s="23"/>
      <c r="F561" s="23"/>
      <c r="G561" s="23"/>
      <c r="H561" s="95"/>
      <c r="I561" s="95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</row>
    <row r="562" spans="1:36" ht="15.75" customHeight="1" x14ac:dyDescent="0.3">
      <c r="A562" s="23"/>
      <c r="B562" s="23"/>
      <c r="C562" s="23"/>
      <c r="D562" s="23"/>
      <c r="E562" s="23"/>
      <c r="F562" s="23"/>
      <c r="G562" s="23"/>
      <c r="H562" s="95"/>
      <c r="I562" s="95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</row>
    <row r="563" spans="1:36" ht="15.75" customHeight="1" x14ac:dyDescent="0.3">
      <c r="A563" s="23"/>
      <c r="B563" s="23"/>
      <c r="C563" s="23"/>
      <c r="D563" s="23"/>
      <c r="E563" s="23"/>
      <c r="F563" s="23"/>
      <c r="G563" s="23"/>
      <c r="H563" s="95"/>
      <c r="I563" s="95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</row>
    <row r="564" spans="1:36" ht="15.75" customHeight="1" x14ac:dyDescent="0.3">
      <c r="A564" s="23"/>
      <c r="B564" s="23"/>
      <c r="C564" s="23"/>
      <c r="D564" s="23"/>
      <c r="E564" s="23"/>
      <c r="F564" s="23"/>
      <c r="G564" s="23"/>
      <c r="H564" s="95"/>
      <c r="I564" s="95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</row>
    <row r="565" spans="1:36" ht="15.75" customHeight="1" x14ac:dyDescent="0.3">
      <c r="A565" s="23"/>
      <c r="B565" s="23"/>
      <c r="C565" s="23"/>
      <c r="D565" s="23"/>
      <c r="E565" s="23"/>
      <c r="F565" s="23"/>
      <c r="G565" s="23"/>
      <c r="H565" s="95"/>
      <c r="I565" s="95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</row>
    <row r="566" spans="1:36" ht="15.75" customHeight="1" x14ac:dyDescent="0.3">
      <c r="A566" s="23"/>
      <c r="B566" s="23"/>
      <c r="C566" s="23"/>
      <c r="D566" s="23"/>
      <c r="E566" s="23"/>
      <c r="F566" s="23"/>
      <c r="G566" s="23"/>
      <c r="H566" s="95"/>
      <c r="I566" s="95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</row>
    <row r="567" spans="1:36" ht="15.75" customHeight="1" x14ac:dyDescent="0.3">
      <c r="A567" s="23"/>
      <c r="B567" s="23"/>
      <c r="C567" s="23"/>
      <c r="D567" s="23"/>
      <c r="E567" s="23"/>
      <c r="F567" s="23"/>
      <c r="G567" s="23"/>
      <c r="H567" s="95"/>
      <c r="I567" s="95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</row>
    <row r="568" spans="1:36" ht="15.75" customHeight="1" x14ac:dyDescent="0.3">
      <c r="A568" s="23"/>
      <c r="B568" s="23"/>
      <c r="C568" s="23"/>
      <c r="D568" s="23"/>
      <c r="E568" s="23"/>
      <c r="F568" s="23"/>
      <c r="G568" s="23"/>
      <c r="H568" s="95"/>
      <c r="I568" s="95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</row>
    <row r="569" spans="1:36" ht="15.75" customHeight="1" x14ac:dyDescent="0.3">
      <c r="A569" s="23"/>
      <c r="B569" s="23"/>
      <c r="C569" s="23"/>
      <c r="D569" s="23"/>
      <c r="E569" s="23"/>
      <c r="F569" s="23"/>
      <c r="G569" s="23"/>
      <c r="H569" s="95"/>
      <c r="I569" s="95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</row>
    <row r="570" spans="1:36" ht="15.75" customHeight="1" x14ac:dyDescent="0.3">
      <c r="A570" s="23"/>
      <c r="B570" s="23"/>
      <c r="C570" s="23"/>
      <c r="D570" s="23"/>
      <c r="E570" s="23"/>
      <c r="F570" s="23"/>
      <c r="G570" s="23"/>
      <c r="H570" s="95"/>
      <c r="I570" s="95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</row>
    <row r="571" spans="1:36" ht="15.75" customHeight="1" x14ac:dyDescent="0.3">
      <c r="A571" s="23"/>
      <c r="B571" s="23"/>
      <c r="C571" s="23"/>
      <c r="D571" s="23"/>
      <c r="E571" s="23"/>
      <c r="F571" s="23"/>
      <c r="G571" s="23"/>
      <c r="H571" s="95"/>
      <c r="I571" s="95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</row>
    <row r="572" spans="1:36" ht="15.75" customHeight="1" x14ac:dyDescent="0.3">
      <c r="A572" s="23"/>
      <c r="B572" s="23"/>
      <c r="C572" s="23"/>
      <c r="D572" s="23"/>
      <c r="E572" s="23"/>
      <c r="F572" s="23"/>
      <c r="G572" s="23"/>
      <c r="H572" s="95"/>
      <c r="I572" s="95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</row>
    <row r="573" spans="1:36" ht="15.75" customHeight="1" x14ac:dyDescent="0.3">
      <c r="A573" s="23"/>
      <c r="B573" s="23"/>
      <c r="C573" s="23"/>
      <c r="D573" s="23"/>
      <c r="E573" s="23"/>
      <c r="F573" s="23"/>
      <c r="G573" s="23"/>
      <c r="H573" s="95"/>
      <c r="I573" s="95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</row>
    <row r="574" spans="1:36" ht="15.75" customHeight="1" x14ac:dyDescent="0.3">
      <c r="A574" s="23"/>
      <c r="B574" s="23"/>
      <c r="C574" s="23"/>
      <c r="D574" s="23"/>
      <c r="E574" s="23"/>
      <c r="F574" s="23"/>
      <c r="G574" s="23"/>
      <c r="H574" s="95"/>
      <c r="I574" s="95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</row>
    <row r="575" spans="1:36" ht="15.75" customHeight="1" x14ac:dyDescent="0.3">
      <c r="A575" s="23"/>
      <c r="B575" s="23"/>
      <c r="C575" s="23"/>
      <c r="D575" s="23"/>
      <c r="E575" s="23"/>
      <c r="F575" s="23"/>
      <c r="G575" s="23"/>
      <c r="H575" s="95"/>
      <c r="I575" s="95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</row>
    <row r="576" spans="1:36" ht="15.75" customHeight="1" x14ac:dyDescent="0.3">
      <c r="A576" s="23"/>
      <c r="B576" s="23"/>
      <c r="C576" s="23"/>
      <c r="D576" s="23"/>
      <c r="E576" s="23"/>
      <c r="F576" s="23"/>
      <c r="G576" s="23"/>
      <c r="H576" s="95"/>
      <c r="I576" s="95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</row>
    <row r="577" spans="1:36" ht="15.75" customHeight="1" x14ac:dyDescent="0.3">
      <c r="A577" s="23"/>
      <c r="B577" s="23"/>
      <c r="C577" s="23"/>
      <c r="D577" s="23"/>
      <c r="E577" s="23"/>
      <c r="F577" s="23"/>
      <c r="G577" s="23"/>
      <c r="H577" s="95"/>
      <c r="I577" s="95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</row>
    <row r="578" spans="1:36" ht="15.75" customHeight="1" x14ac:dyDescent="0.3">
      <c r="A578" s="23"/>
      <c r="B578" s="23"/>
      <c r="C578" s="23"/>
      <c r="D578" s="23"/>
      <c r="E578" s="23"/>
      <c r="F578" s="23"/>
      <c r="G578" s="23"/>
      <c r="H578" s="95"/>
      <c r="I578" s="95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</row>
    <row r="579" spans="1:36" ht="15.75" customHeight="1" x14ac:dyDescent="0.3">
      <c r="A579" s="23"/>
      <c r="B579" s="23"/>
      <c r="C579" s="23"/>
      <c r="D579" s="23"/>
      <c r="E579" s="23"/>
      <c r="F579" s="23"/>
      <c r="G579" s="23"/>
      <c r="H579" s="95"/>
      <c r="I579" s="95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</row>
    <row r="580" spans="1:36" ht="15.75" customHeight="1" x14ac:dyDescent="0.3">
      <c r="A580" s="23"/>
      <c r="B580" s="23"/>
      <c r="C580" s="23"/>
      <c r="D580" s="23"/>
      <c r="E580" s="23"/>
      <c r="F580" s="23"/>
      <c r="G580" s="23"/>
      <c r="H580" s="95"/>
      <c r="I580" s="95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</row>
    <row r="581" spans="1:36" ht="15.75" customHeight="1" x14ac:dyDescent="0.3">
      <c r="A581" s="23"/>
      <c r="B581" s="23"/>
      <c r="C581" s="23"/>
      <c r="D581" s="23"/>
      <c r="E581" s="23"/>
      <c r="F581" s="23"/>
      <c r="G581" s="23"/>
      <c r="H581" s="95"/>
      <c r="I581" s="95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</row>
    <row r="582" spans="1:36" ht="15.75" customHeight="1" x14ac:dyDescent="0.3">
      <c r="A582" s="23"/>
      <c r="B582" s="23"/>
      <c r="C582" s="23"/>
      <c r="D582" s="23"/>
      <c r="E582" s="23"/>
      <c r="F582" s="23"/>
      <c r="G582" s="23"/>
      <c r="H582" s="95"/>
      <c r="I582" s="95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</row>
    <row r="583" spans="1:36" ht="15.75" customHeight="1" x14ac:dyDescent="0.3">
      <c r="A583" s="23"/>
      <c r="B583" s="23"/>
      <c r="C583" s="23"/>
      <c r="D583" s="23"/>
      <c r="E583" s="23"/>
      <c r="F583" s="23"/>
      <c r="G583" s="23"/>
      <c r="H583" s="95"/>
      <c r="I583" s="95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</row>
    <row r="584" spans="1:36" ht="15.75" customHeight="1" x14ac:dyDescent="0.3">
      <c r="A584" s="23"/>
      <c r="B584" s="23"/>
      <c r="C584" s="23"/>
      <c r="D584" s="23"/>
      <c r="E584" s="23"/>
      <c r="F584" s="23"/>
      <c r="G584" s="23"/>
      <c r="H584" s="95"/>
      <c r="I584" s="95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</row>
    <row r="585" spans="1:36" ht="15.75" customHeight="1" x14ac:dyDescent="0.3">
      <c r="A585" s="23"/>
      <c r="B585" s="23"/>
      <c r="C585" s="23"/>
      <c r="D585" s="23"/>
      <c r="E585" s="23"/>
      <c r="F585" s="23"/>
      <c r="G585" s="23"/>
      <c r="H585" s="95"/>
      <c r="I585" s="95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</row>
    <row r="586" spans="1:36" ht="15.75" customHeight="1" x14ac:dyDescent="0.3">
      <c r="A586" s="23"/>
      <c r="B586" s="23"/>
      <c r="C586" s="23"/>
      <c r="D586" s="23"/>
      <c r="E586" s="23"/>
      <c r="F586" s="23"/>
      <c r="G586" s="23"/>
      <c r="H586" s="95"/>
      <c r="I586" s="95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</row>
    <row r="587" spans="1:36" ht="15.75" customHeight="1" x14ac:dyDescent="0.3">
      <c r="A587" s="23"/>
      <c r="B587" s="23"/>
      <c r="C587" s="23"/>
      <c r="D587" s="23"/>
      <c r="E587" s="23"/>
      <c r="F587" s="23"/>
      <c r="G587" s="23"/>
      <c r="H587" s="95"/>
      <c r="I587" s="95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</row>
    <row r="588" spans="1:36" ht="15.75" customHeight="1" x14ac:dyDescent="0.3">
      <c r="A588" s="23"/>
      <c r="B588" s="23"/>
      <c r="C588" s="23"/>
      <c r="D588" s="23"/>
      <c r="E588" s="23"/>
      <c r="F588" s="23"/>
      <c r="G588" s="23"/>
      <c r="H588" s="95"/>
      <c r="I588" s="95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</row>
    <row r="589" spans="1:36" ht="15.75" customHeight="1" x14ac:dyDescent="0.3">
      <c r="A589" s="23"/>
      <c r="B589" s="23"/>
      <c r="C589" s="23"/>
      <c r="D589" s="23"/>
      <c r="E589" s="23"/>
      <c r="F589" s="23"/>
      <c r="G589" s="23"/>
      <c r="H589" s="95"/>
      <c r="I589" s="95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spans="1:36" ht="15.75" customHeight="1" x14ac:dyDescent="0.3">
      <c r="A590" s="23"/>
      <c r="B590" s="23"/>
      <c r="C590" s="23"/>
      <c r="D590" s="23"/>
      <c r="E590" s="23"/>
      <c r="F590" s="23"/>
      <c r="G590" s="23"/>
      <c r="H590" s="95"/>
      <c r="I590" s="95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spans="1:36" ht="15.75" customHeight="1" x14ac:dyDescent="0.3">
      <c r="A591" s="23"/>
      <c r="B591" s="23"/>
      <c r="C591" s="23"/>
      <c r="D591" s="23"/>
      <c r="E591" s="23"/>
      <c r="F591" s="23"/>
      <c r="G591" s="23"/>
      <c r="H591" s="95"/>
      <c r="I591" s="95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spans="1:36" ht="15.75" customHeight="1" x14ac:dyDescent="0.3">
      <c r="A592" s="23"/>
      <c r="B592" s="23"/>
      <c r="C592" s="23"/>
      <c r="D592" s="23"/>
      <c r="E592" s="23"/>
      <c r="F592" s="23"/>
      <c r="G592" s="23"/>
      <c r="H592" s="95"/>
      <c r="I592" s="95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spans="1:36" ht="15.75" customHeight="1" x14ac:dyDescent="0.3">
      <c r="A593" s="23"/>
      <c r="B593" s="23"/>
      <c r="C593" s="23"/>
      <c r="D593" s="23"/>
      <c r="E593" s="23"/>
      <c r="F593" s="23"/>
      <c r="G593" s="23"/>
      <c r="H593" s="95"/>
      <c r="I593" s="95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spans="1:36" ht="15.75" customHeight="1" x14ac:dyDescent="0.3">
      <c r="A594" s="23"/>
      <c r="B594" s="23"/>
      <c r="C594" s="23"/>
      <c r="D594" s="23"/>
      <c r="E594" s="23"/>
      <c r="F594" s="23"/>
      <c r="G594" s="23"/>
      <c r="H594" s="95"/>
      <c r="I594" s="95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spans="1:36" ht="15.75" customHeight="1" x14ac:dyDescent="0.3">
      <c r="A595" s="23"/>
      <c r="B595" s="23"/>
      <c r="C595" s="23"/>
      <c r="D595" s="23"/>
      <c r="E595" s="23"/>
      <c r="F595" s="23"/>
      <c r="G595" s="23"/>
      <c r="H595" s="95"/>
      <c r="I595" s="95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spans="1:36" ht="15.75" customHeight="1" x14ac:dyDescent="0.3">
      <c r="A596" s="23"/>
      <c r="B596" s="23"/>
      <c r="C596" s="23"/>
      <c r="D596" s="23"/>
      <c r="E596" s="23"/>
      <c r="F596" s="23"/>
      <c r="G596" s="23"/>
      <c r="H596" s="95"/>
      <c r="I596" s="95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spans="1:36" ht="15.75" customHeight="1" x14ac:dyDescent="0.3">
      <c r="A597" s="23"/>
      <c r="B597" s="23"/>
      <c r="C597" s="23"/>
      <c r="D597" s="23"/>
      <c r="E597" s="23"/>
      <c r="F597" s="23"/>
      <c r="G597" s="23"/>
      <c r="H597" s="95"/>
      <c r="I597" s="95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spans="1:36" ht="15.75" customHeight="1" x14ac:dyDescent="0.3">
      <c r="A598" s="23"/>
      <c r="B598" s="23"/>
      <c r="C598" s="23"/>
      <c r="D598" s="23"/>
      <c r="E598" s="23"/>
      <c r="F598" s="23"/>
      <c r="G598" s="23"/>
      <c r="H598" s="95"/>
      <c r="I598" s="95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spans="1:36" ht="15.75" customHeight="1" x14ac:dyDescent="0.3">
      <c r="A599" s="23"/>
      <c r="B599" s="23"/>
      <c r="C599" s="23"/>
      <c r="D599" s="23"/>
      <c r="E599" s="23"/>
      <c r="F599" s="23"/>
      <c r="G599" s="23"/>
      <c r="H599" s="95"/>
      <c r="I599" s="95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spans="1:36" ht="15.75" customHeight="1" x14ac:dyDescent="0.3">
      <c r="A600" s="23"/>
      <c r="B600" s="23"/>
      <c r="C600" s="23"/>
      <c r="D600" s="23"/>
      <c r="E600" s="23"/>
      <c r="F600" s="23"/>
      <c r="G600" s="23"/>
      <c r="H600" s="95"/>
      <c r="I600" s="95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spans="1:36" ht="15.75" customHeight="1" x14ac:dyDescent="0.3">
      <c r="A601" s="23"/>
      <c r="B601" s="23"/>
      <c r="C601" s="23"/>
      <c r="D601" s="23"/>
      <c r="E601" s="23"/>
      <c r="F601" s="23"/>
      <c r="G601" s="23"/>
      <c r="H601" s="95"/>
      <c r="I601" s="95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spans="1:36" ht="15.75" customHeight="1" x14ac:dyDescent="0.3">
      <c r="A602" s="23"/>
      <c r="B602" s="23"/>
      <c r="C602" s="23"/>
      <c r="D602" s="23"/>
      <c r="E602" s="23"/>
      <c r="F602" s="23"/>
      <c r="G602" s="23"/>
      <c r="H602" s="95"/>
      <c r="I602" s="95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spans="1:36" ht="15.75" customHeight="1" x14ac:dyDescent="0.3">
      <c r="A603" s="23"/>
      <c r="B603" s="23"/>
      <c r="C603" s="23"/>
      <c r="D603" s="23"/>
      <c r="E603" s="23"/>
      <c r="F603" s="23"/>
      <c r="G603" s="23"/>
      <c r="H603" s="95"/>
      <c r="I603" s="95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spans="1:36" ht="15.75" customHeight="1" x14ac:dyDescent="0.3">
      <c r="A604" s="23"/>
      <c r="B604" s="23"/>
      <c r="C604" s="23"/>
      <c r="D604" s="23"/>
      <c r="E604" s="23"/>
      <c r="F604" s="23"/>
      <c r="G604" s="23"/>
      <c r="H604" s="95"/>
      <c r="I604" s="95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spans="1:36" ht="15.75" customHeight="1" x14ac:dyDescent="0.3">
      <c r="A605" s="23"/>
      <c r="B605" s="23"/>
      <c r="C605" s="23"/>
      <c r="D605" s="23"/>
      <c r="E605" s="23"/>
      <c r="F605" s="23"/>
      <c r="G605" s="23"/>
      <c r="H605" s="95"/>
      <c r="I605" s="95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spans="1:36" ht="15.75" customHeight="1" x14ac:dyDescent="0.3">
      <c r="A606" s="23"/>
      <c r="B606" s="23"/>
      <c r="C606" s="23"/>
      <c r="D606" s="23"/>
      <c r="E606" s="23"/>
      <c r="F606" s="23"/>
      <c r="G606" s="23"/>
      <c r="H606" s="95"/>
      <c r="I606" s="95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spans="1:36" ht="15.75" customHeight="1" x14ac:dyDescent="0.3">
      <c r="A607" s="23"/>
      <c r="B607" s="23"/>
      <c r="C607" s="23"/>
      <c r="D607" s="23"/>
      <c r="E607" s="23"/>
      <c r="F607" s="23"/>
      <c r="G607" s="23"/>
      <c r="H607" s="95"/>
      <c r="I607" s="95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spans="1:36" ht="15.75" customHeight="1" x14ac:dyDescent="0.3">
      <c r="A608" s="23"/>
      <c r="B608" s="23"/>
      <c r="C608" s="23"/>
      <c r="D608" s="23"/>
      <c r="E608" s="23"/>
      <c r="F608" s="23"/>
      <c r="G608" s="23"/>
      <c r="H608" s="95"/>
      <c r="I608" s="95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spans="1:36" ht="15.75" customHeight="1" x14ac:dyDescent="0.3">
      <c r="A609" s="23"/>
      <c r="B609" s="23"/>
      <c r="C609" s="23"/>
      <c r="D609" s="23"/>
      <c r="E609" s="23"/>
      <c r="F609" s="23"/>
      <c r="G609" s="23"/>
      <c r="H609" s="95"/>
      <c r="I609" s="95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spans="1:36" ht="15.75" customHeight="1" x14ac:dyDescent="0.3">
      <c r="A610" s="23"/>
      <c r="B610" s="23"/>
      <c r="C610" s="23"/>
      <c r="D610" s="23"/>
      <c r="E610" s="23"/>
      <c r="F610" s="23"/>
      <c r="G610" s="23"/>
      <c r="H610" s="95"/>
      <c r="I610" s="95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spans="1:36" ht="15.75" customHeight="1" x14ac:dyDescent="0.3">
      <c r="A611" s="23"/>
      <c r="B611" s="23"/>
      <c r="C611" s="23"/>
      <c r="D611" s="23"/>
      <c r="E611" s="23"/>
      <c r="F611" s="23"/>
      <c r="G611" s="23"/>
      <c r="H611" s="95"/>
      <c r="I611" s="95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spans="1:36" ht="15.75" customHeight="1" x14ac:dyDescent="0.3">
      <c r="A612" s="23"/>
      <c r="B612" s="23"/>
      <c r="C612" s="23"/>
      <c r="D612" s="23"/>
      <c r="E612" s="23"/>
      <c r="F612" s="23"/>
      <c r="G612" s="23"/>
      <c r="H612" s="95"/>
      <c r="I612" s="95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spans="1:36" ht="15.75" customHeight="1" x14ac:dyDescent="0.3">
      <c r="A613" s="23"/>
      <c r="B613" s="23"/>
      <c r="C613" s="23"/>
      <c r="D613" s="23"/>
      <c r="E613" s="23"/>
      <c r="F613" s="23"/>
      <c r="G613" s="23"/>
      <c r="H613" s="95"/>
      <c r="I613" s="95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spans="1:36" ht="15.75" customHeight="1" x14ac:dyDescent="0.3">
      <c r="A614" s="23"/>
      <c r="B614" s="23"/>
      <c r="C614" s="23"/>
      <c r="D614" s="23"/>
      <c r="E614" s="23"/>
      <c r="F614" s="23"/>
      <c r="G614" s="23"/>
      <c r="H614" s="95"/>
      <c r="I614" s="95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spans="1:36" ht="15.75" customHeight="1" x14ac:dyDescent="0.3">
      <c r="A615" s="23"/>
      <c r="B615" s="23"/>
      <c r="C615" s="23"/>
      <c r="D615" s="23"/>
      <c r="E615" s="23"/>
      <c r="F615" s="23"/>
      <c r="G615" s="23"/>
      <c r="H615" s="95"/>
      <c r="I615" s="95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spans="1:36" ht="15.75" customHeight="1" x14ac:dyDescent="0.3">
      <c r="A616" s="23"/>
      <c r="B616" s="23"/>
      <c r="C616" s="23"/>
      <c r="D616" s="23"/>
      <c r="E616" s="23"/>
      <c r="F616" s="23"/>
      <c r="G616" s="23"/>
      <c r="H616" s="95"/>
      <c r="I616" s="95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spans="1:36" ht="15.75" customHeight="1" x14ac:dyDescent="0.3">
      <c r="A617" s="23"/>
      <c r="B617" s="23"/>
      <c r="C617" s="23"/>
      <c r="D617" s="23"/>
      <c r="E617" s="23"/>
      <c r="F617" s="23"/>
      <c r="G617" s="23"/>
      <c r="H617" s="95"/>
      <c r="I617" s="95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spans="1:36" ht="15.75" customHeight="1" x14ac:dyDescent="0.3">
      <c r="A618" s="23"/>
      <c r="B618" s="23"/>
      <c r="C618" s="23"/>
      <c r="D618" s="23"/>
      <c r="E618" s="23"/>
      <c r="F618" s="23"/>
      <c r="G618" s="23"/>
      <c r="H618" s="95"/>
      <c r="I618" s="95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spans="1:36" ht="15.75" customHeight="1" x14ac:dyDescent="0.3">
      <c r="A619" s="23"/>
      <c r="B619" s="23"/>
      <c r="C619" s="23"/>
      <c r="D619" s="23"/>
      <c r="E619" s="23"/>
      <c r="F619" s="23"/>
      <c r="G619" s="23"/>
      <c r="H619" s="95"/>
      <c r="I619" s="95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spans="1:36" ht="15.75" customHeight="1" x14ac:dyDescent="0.3">
      <c r="A620" s="23"/>
      <c r="B620" s="23"/>
      <c r="C620" s="23"/>
      <c r="D620" s="23"/>
      <c r="E620" s="23"/>
      <c r="F620" s="23"/>
      <c r="G620" s="23"/>
      <c r="H620" s="95"/>
      <c r="I620" s="95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spans="1:36" ht="15.75" customHeight="1" x14ac:dyDescent="0.3">
      <c r="A621" s="23"/>
      <c r="B621" s="23"/>
      <c r="C621" s="23"/>
      <c r="D621" s="23"/>
      <c r="E621" s="23"/>
      <c r="F621" s="23"/>
      <c r="G621" s="23"/>
      <c r="H621" s="95"/>
      <c r="I621" s="95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spans="1:36" ht="15.75" customHeight="1" x14ac:dyDescent="0.3">
      <c r="A622" s="23"/>
      <c r="B622" s="23"/>
      <c r="C622" s="23"/>
      <c r="D622" s="23"/>
      <c r="E622" s="23"/>
      <c r="F622" s="23"/>
      <c r="G622" s="23"/>
      <c r="H622" s="95"/>
      <c r="I622" s="95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spans="1:36" ht="15.75" customHeight="1" x14ac:dyDescent="0.3">
      <c r="A623" s="23"/>
      <c r="B623" s="23"/>
      <c r="C623" s="23"/>
      <c r="D623" s="23"/>
      <c r="E623" s="23"/>
      <c r="F623" s="23"/>
      <c r="G623" s="23"/>
      <c r="H623" s="95"/>
      <c r="I623" s="95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spans="1:36" ht="15.75" customHeight="1" x14ac:dyDescent="0.3">
      <c r="A624" s="23"/>
      <c r="B624" s="23"/>
      <c r="C624" s="23"/>
      <c r="D624" s="23"/>
      <c r="E624" s="23"/>
      <c r="F624" s="23"/>
      <c r="G624" s="23"/>
      <c r="H624" s="95"/>
      <c r="I624" s="95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spans="1:36" ht="15.75" customHeight="1" x14ac:dyDescent="0.3">
      <c r="A625" s="23"/>
      <c r="B625" s="23"/>
      <c r="C625" s="23"/>
      <c r="D625" s="23"/>
      <c r="E625" s="23"/>
      <c r="F625" s="23"/>
      <c r="G625" s="23"/>
      <c r="H625" s="95"/>
      <c r="I625" s="95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spans="1:36" ht="15.75" customHeight="1" x14ac:dyDescent="0.3">
      <c r="A626" s="23"/>
      <c r="B626" s="23"/>
      <c r="C626" s="23"/>
      <c r="D626" s="23"/>
      <c r="E626" s="23"/>
      <c r="F626" s="23"/>
      <c r="G626" s="23"/>
      <c r="H626" s="95"/>
      <c r="I626" s="95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spans="1:36" ht="15.75" customHeight="1" x14ac:dyDescent="0.3">
      <c r="A627" s="23"/>
      <c r="B627" s="23"/>
      <c r="C627" s="23"/>
      <c r="D627" s="23"/>
      <c r="E627" s="23"/>
      <c r="F627" s="23"/>
      <c r="G627" s="23"/>
      <c r="H627" s="95"/>
      <c r="I627" s="95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spans="1:36" ht="15.75" customHeight="1" x14ac:dyDescent="0.3">
      <c r="A628" s="23"/>
      <c r="B628" s="23"/>
      <c r="C628" s="23"/>
      <c r="D628" s="23"/>
      <c r="E628" s="23"/>
      <c r="F628" s="23"/>
      <c r="G628" s="23"/>
      <c r="H628" s="95"/>
      <c r="I628" s="95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spans="1:36" ht="15.75" customHeight="1" x14ac:dyDescent="0.3">
      <c r="A629" s="23"/>
      <c r="B629" s="23"/>
      <c r="C629" s="23"/>
      <c r="D629" s="23"/>
      <c r="E629" s="23"/>
      <c r="F629" s="23"/>
      <c r="G629" s="23"/>
      <c r="H629" s="95"/>
      <c r="I629" s="95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spans="1:36" ht="15.75" customHeight="1" x14ac:dyDescent="0.3">
      <c r="A630" s="23"/>
      <c r="B630" s="23"/>
      <c r="C630" s="23"/>
      <c r="D630" s="23"/>
      <c r="E630" s="23"/>
      <c r="F630" s="23"/>
      <c r="G630" s="23"/>
      <c r="H630" s="95"/>
      <c r="I630" s="95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spans="1:36" ht="15.75" customHeight="1" x14ac:dyDescent="0.3">
      <c r="A631" s="23"/>
      <c r="B631" s="23"/>
      <c r="C631" s="23"/>
      <c r="D631" s="23"/>
      <c r="E631" s="23"/>
      <c r="F631" s="23"/>
      <c r="G631" s="23"/>
      <c r="H631" s="95"/>
      <c r="I631" s="95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</row>
    <row r="632" spans="1:36" ht="15.75" customHeight="1" x14ac:dyDescent="0.3">
      <c r="A632" s="23"/>
      <c r="B632" s="23"/>
      <c r="C632" s="23"/>
      <c r="D632" s="23"/>
      <c r="E632" s="23"/>
      <c r="F632" s="23"/>
      <c r="G632" s="23"/>
      <c r="H632" s="95"/>
      <c r="I632" s="95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</row>
    <row r="633" spans="1:36" ht="15.75" customHeight="1" x14ac:dyDescent="0.3">
      <c r="A633" s="23"/>
      <c r="B633" s="23"/>
      <c r="C633" s="23"/>
      <c r="D633" s="23"/>
      <c r="E633" s="23"/>
      <c r="F633" s="23"/>
      <c r="G633" s="23"/>
      <c r="H633" s="95"/>
      <c r="I633" s="95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</row>
    <row r="634" spans="1:36" ht="15.75" customHeight="1" x14ac:dyDescent="0.3">
      <c r="A634" s="23"/>
      <c r="B634" s="23"/>
      <c r="C634" s="23"/>
      <c r="D634" s="23"/>
      <c r="E634" s="23"/>
      <c r="F634" s="23"/>
      <c r="G634" s="23"/>
      <c r="H634" s="95"/>
      <c r="I634" s="95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</row>
    <row r="635" spans="1:36" ht="15.75" customHeight="1" x14ac:dyDescent="0.3">
      <c r="A635" s="23"/>
      <c r="B635" s="23"/>
      <c r="C635" s="23"/>
      <c r="D635" s="23"/>
      <c r="E635" s="23"/>
      <c r="F635" s="23"/>
      <c r="G635" s="23"/>
      <c r="H635" s="95"/>
      <c r="I635" s="95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</row>
    <row r="636" spans="1:36" ht="15.75" customHeight="1" x14ac:dyDescent="0.3">
      <c r="A636" s="23"/>
      <c r="B636" s="23"/>
      <c r="C636" s="23"/>
      <c r="D636" s="23"/>
      <c r="E636" s="23"/>
      <c r="F636" s="23"/>
      <c r="G636" s="23"/>
      <c r="H636" s="95"/>
      <c r="I636" s="95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</row>
    <row r="637" spans="1:36" ht="15.75" customHeight="1" x14ac:dyDescent="0.3">
      <c r="A637" s="23"/>
      <c r="B637" s="23"/>
      <c r="C637" s="23"/>
      <c r="D637" s="23"/>
      <c r="E637" s="23"/>
      <c r="F637" s="23"/>
      <c r="G637" s="23"/>
      <c r="H637" s="95"/>
      <c r="I637" s="95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</row>
    <row r="638" spans="1:36" ht="15.75" customHeight="1" x14ac:dyDescent="0.3">
      <c r="A638" s="23"/>
      <c r="B638" s="23"/>
      <c r="C638" s="23"/>
      <c r="D638" s="23"/>
      <c r="E638" s="23"/>
      <c r="F638" s="23"/>
      <c r="G638" s="23"/>
      <c r="H638" s="95"/>
      <c r="I638" s="95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</row>
    <row r="639" spans="1:36" ht="15.75" customHeight="1" x14ac:dyDescent="0.3">
      <c r="A639" s="23"/>
      <c r="B639" s="23"/>
      <c r="C639" s="23"/>
      <c r="D639" s="23"/>
      <c r="E639" s="23"/>
      <c r="F639" s="23"/>
      <c r="G639" s="23"/>
      <c r="H639" s="95"/>
      <c r="I639" s="95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</row>
    <row r="640" spans="1:36" ht="15.75" customHeight="1" x14ac:dyDescent="0.3">
      <c r="A640" s="23"/>
      <c r="B640" s="23"/>
      <c r="C640" s="23"/>
      <c r="D640" s="23"/>
      <c r="E640" s="23"/>
      <c r="F640" s="23"/>
      <c r="G640" s="23"/>
      <c r="H640" s="95"/>
      <c r="I640" s="95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</row>
    <row r="641" spans="1:36" ht="15.75" customHeight="1" x14ac:dyDescent="0.3">
      <c r="A641" s="23"/>
      <c r="B641" s="23"/>
      <c r="C641" s="23"/>
      <c r="D641" s="23"/>
      <c r="E641" s="23"/>
      <c r="F641" s="23"/>
      <c r="G641" s="23"/>
      <c r="H641" s="95"/>
      <c r="I641" s="95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</row>
    <row r="642" spans="1:36" ht="15.75" customHeight="1" x14ac:dyDescent="0.3">
      <c r="A642" s="23"/>
      <c r="B642" s="23"/>
      <c r="C642" s="23"/>
      <c r="D642" s="23"/>
      <c r="E642" s="23"/>
      <c r="F642" s="23"/>
      <c r="G642" s="23"/>
      <c r="H642" s="95"/>
      <c r="I642" s="95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</row>
    <row r="643" spans="1:36" ht="15.75" customHeight="1" x14ac:dyDescent="0.3">
      <c r="A643" s="23"/>
      <c r="B643" s="23"/>
      <c r="C643" s="23"/>
      <c r="D643" s="23"/>
      <c r="E643" s="23"/>
      <c r="F643" s="23"/>
      <c r="G643" s="23"/>
      <c r="H643" s="95"/>
      <c r="I643" s="95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</row>
    <row r="644" spans="1:36" ht="15.75" customHeight="1" x14ac:dyDescent="0.3">
      <c r="A644" s="23"/>
      <c r="B644" s="23"/>
      <c r="C644" s="23"/>
      <c r="D644" s="23"/>
      <c r="E644" s="23"/>
      <c r="F644" s="23"/>
      <c r="G644" s="23"/>
      <c r="H644" s="95"/>
      <c r="I644" s="95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</row>
    <row r="645" spans="1:36" ht="15.75" customHeight="1" x14ac:dyDescent="0.3">
      <c r="A645" s="23"/>
      <c r="B645" s="23"/>
      <c r="C645" s="23"/>
      <c r="D645" s="23"/>
      <c r="E645" s="23"/>
      <c r="F645" s="23"/>
      <c r="G645" s="23"/>
      <c r="H645" s="95"/>
      <c r="I645" s="95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</row>
    <row r="646" spans="1:36" ht="15.75" customHeight="1" x14ac:dyDescent="0.3">
      <c r="A646" s="23"/>
      <c r="B646" s="23"/>
      <c r="C646" s="23"/>
      <c r="D646" s="23"/>
      <c r="E646" s="23"/>
      <c r="F646" s="23"/>
      <c r="G646" s="23"/>
      <c r="H646" s="95"/>
      <c r="I646" s="95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</row>
    <row r="647" spans="1:36" ht="15.75" customHeight="1" x14ac:dyDescent="0.3">
      <c r="A647" s="23"/>
      <c r="B647" s="23"/>
      <c r="C647" s="23"/>
      <c r="D647" s="23"/>
      <c r="E647" s="23"/>
      <c r="F647" s="23"/>
      <c r="G647" s="23"/>
      <c r="H647" s="95"/>
      <c r="I647" s="95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</row>
    <row r="648" spans="1:36" ht="15.75" customHeight="1" x14ac:dyDescent="0.3">
      <c r="A648" s="23"/>
      <c r="B648" s="23"/>
      <c r="C648" s="23"/>
      <c r="D648" s="23"/>
      <c r="E648" s="23"/>
      <c r="F648" s="23"/>
      <c r="G648" s="23"/>
      <c r="H648" s="95"/>
      <c r="I648" s="95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</row>
    <row r="649" spans="1:36" ht="15.75" customHeight="1" x14ac:dyDescent="0.3">
      <c r="A649" s="23"/>
      <c r="B649" s="23"/>
      <c r="C649" s="23"/>
      <c r="D649" s="23"/>
      <c r="E649" s="23"/>
      <c r="F649" s="23"/>
      <c r="G649" s="23"/>
      <c r="H649" s="95"/>
      <c r="I649" s="95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</row>
    <row r="650" spans="1:36" ht="15.75" customHeight="1" x14ac:dyDescent="0.3">
      <c r="A650" s="23"/>
      <c r="B650" s="23"/>
      <c r="C650" s="23"/>
      <c r="D650" s="23"/>
      <c r="E650" s="23"/>
      <c r="F650" s="23"/>
      <c r="G650" s="23"/>
      <c r="H650" s="95"/>
      <c r="I650" s="95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</row>
    <row r="651" spans="1:36" ht="15.75" customHeight="1" x14ac:dyDescent="0.3">
      <c r="A651" s="23"/>
      <c r="B651" s="23"/>
      <c r="C651" s="23"/>
      <c r="D651" s="23"/>
      <c r="E651" s="23"/>
      <c r="F651" s="23"/>
      <c r="G651" s="23"/>
      <c r="H651" s="95"/>
      <c r="I651" s="95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</row>
    <row r="652" spans="1:36" ht="15.75" customHeight="1" x14ac:dyDescent="0.3">
      <c r="A652" s="23"/>
      <c r="B652" s="23"/>
      <c r="C652" s="23"/>
      <c r="D652" s="23"/>
      <c r="E652" s="23"/>
      <c r="F652" s="23"/>
      <c r="G652" s="23"/>
      <c r="H652" s="95"/>
      <c r="I652" s="95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</row>
    <row r="653" spans="1:36" ht="15.75" customHeight="1" x14ac:dyDescent="0.3">
      <c r="A653" s="23"/>
      <c r="B653" s="23"/>
      <c r="C653" s="23"/>
      <c r="D653" s="23"/>
      <c r="E653" s="23"/>
      <c r="F653" s="23"/>
      <c r="G653" s="23"/>
      <c r="H653" s="95"/>
      <c r="I653" s="95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</row>
    <row r="654" spans="1:36" ht="15.75" customHeight="1" x14ac:dyDescent="0.3">
      <c r="A654" s="23"/>
      <c r="B654" s="23"/>
      <c r="C654" s="23"/>
      <c r="D654" s="23"/>
      <c r="E654" s="23"/>
      <c r="F654" s="23"/>
      <c r="G654" s="23"/>
      <c r="H654" s="95"/>
      <c r="I654" s="95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</row>
    <row r="655" spans="1:36" ht="15.75" customHeight="1" x14ac:dyDescent="0.3">
      <c r="A655" s="23"/>
      <c r="B655" s="23"/>
      <c r="C655" s="23"/>
      <c r="D655" s="23"/>
      <c r="E655" s="23"/>
      <c r="F655" s="23"/>
      <c r="G655" s="23"/>
      <c r="H655" s="95"/>
      <c r="I655" s="95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</row>
    <row r="656" spans="1:36" ht="15.75" customHeight="1" x14ac:dyDescent="0.3">
      <c r="A656" s="23"/>
      <c r="B656" s="23"/>
      <c r="C656" s="23"/>
      <c r="D656" s="23"/>
      <c r="E656" s="23"/>
      <c r="F656" s="23"/>
      <c r="G656" s="23"/>
      <c r="H656" s="95"/>
      <c r="I656" s="95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</row>
    <row r="657" spans="1:36" ht="15.75" customHeight="1" x14ac:dyDescent="0.3">
      <c r="A657" s="23"/>
      <c r="B657" s="23"/>
      <c r="C657" s="23"/>
      <c r="D657" s="23"/>
      <c r="E657" s="23"/>
      <c r="F657" s="23"/>
      <c r="G657" s="23"/>
      <c r="H657" s="95"/>
      <c r="I657" s="95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</row>
    <row r="658" spans="1:36" ht="15.75" customHeight="1" x14ac:dyDescent="0.3">
      <c r="A658" s="23"/>
      <c r="B658" s="23"/>
      <c r="C658" s="23"/>
      <c r="D658" s="23"/>
      <c r="E658" s="23"/>
      <c r="F658" s="23"/>
      <c r="G658" s="23"/>
      <c r="H658" s="95"/>
      <c r="I658" s="95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</row>
    <row r="659" spans="1:36" ht="15.75" customHeight="1" x14ac:dyDescent="0.3">
      <c r="A659" s="23"/>
      <c r="B659" s="23"/>
      <c r="C659" s="23"/>
      <c r="D659" s="23"/>
      <c r="E659" s="23"/>
      <c r="F659" s="23"/>
      <c r="G659" s="23"/>
      <c r="H659" s="95"/>
      <c r="I659" s="95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</row>
    <row r="660" spans="1:36" ht="15.75" customHeight="1" x14ac:dyDescent="0.3">
      <c r="A660" s="23"/>
      <c r="B660" s="23"/>
      <c r="C660" s="23"/>
      <c r="D660" s="23"/>
      <c r="E660" s="23"/>
      <c r="F660" s="23"/>
      <c r="G660" s="23"/>
      <c r="H660" s="95"/>
      <c r="I660" s="95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</row>
    <row r="661" spans="1:36" ht="15.75" customHeight="1" x14ac:dyDescent="0.3">
      <c r="A661" s="23"/>
      <c r="B661" s="23"/>
      <c r="C661" s="23"/>
      <c r="D661" s="23"/>
      <c r="E661" s="23"/>
      <c r="F661" s="23"/>
      <c r="G661" s="23"/>
      <c r="H661" s="95"/>
      <c r="I661" s="95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</row>
    <row r="662" spans="1:36" ht="15.75" customHeight="1" x14ac:dyDescent="0.3">
      <c r="A662" s="23"/>
      <c r="B662" s="23"/>
      <c r="C662" s="23"/>
      <c r="D662" s="23"/>
      <c r="E662" s="23"/>
      <c r="F662" s="23"/>
      <c r="G662" s="23"/>
      <c r="H662" s="95"/>
      <c r="I662" s="95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</row>
    <row r="663" spans="1:36" ht="15.75" customHeight="1" x14ac:dyDescent="0.3">
      <c r="A663" s="23"/>
      <c r="B663" s="23"/>
      <c r="C663" s="23"/>
      <c r="D663" s="23"/>
      <c r="E663" s="23"/>
      <c r="F663" s="23"/>
      <c r="G663" s="23"/>
      <c r="H663" s="95"/>
      <c r="I663" s="95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</row>
    <row r="664" spans="1:36" ht="15.75" customHeight="1" x14ac:dyDescent="0.3">
      <c r="A664" s="23"/>
      <c r="B664" s="23"/>
      <c r="C664" s="23"/>
      <c r="D664" s="23"/>
      <c r="E664" s="23"/>
      <c r="F664" s="23"/>
      <c r="G664" s="23"/>
      <c r="H664" s="95"/>
      <c r="I664" s="95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</row>
    <row r="665" spans="1:36" ht="15.75" customHeight="1" x14ac:dyDescent="0.3">
      <c r="A665" s="23"/>
      <c r="B665" s="23"/>
      <c r="C665" s="23"/>
      <c r="D665" s="23"/>
      <c r="E665" s="23"/>
      <c r="F665" s="23"/>
      <c r="G665" s="23"/>
      <c r="H665" s="95"/>
      <c r="I665" s="95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</row>
    <row r="666" spans="1:36" ht="15.75" customHeight="1" x14ac:dyDescent="0.3">
      <c r="A666" s="23"/>
      <c r="B666" s="23"/>
      <c r="C666" s="23"/>
      <c r="D666" s="23"/>
      <c r="E666" s="23"/>
      <c r="F666" s="23"/>
      <c r="G666" s="23"/>
      <c r="H666" s="95"/>
      <c r="I666" s="95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</row>
    <row r="667" spans="1:36" ht="15.75" customHeight="1" x14ac:dyDescent="0.3">
      <c r="A667" s="23"/>
      <c r="B667" s="23"/>
      <c r="C667" s="23"/>
      <c r="D667" s="23"/>
      <c r="E667" s="23"/>
      <c r="F667" s="23"/>
      <c r="G667" s="23"/>
      <c r="H667" s="95"/>
      <c r="I667" s="95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</row>
    <row r="668" spans="1:36" ht="15.75" customHeight="1" x14ac:dyDescent="0.3">
      <c r="A668" s="23"/>
      <c r="B668" s="23"/>
      <c r="C668" s="23"/>
      <c r="D668" s="23"/>
      <c r="E668" s="23"/>
      <c r="F668" s="23"/>
      <c r="G668" s="23"/>
      <c r="H668" s="95"/>
      <c r="I668" s="95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</row>
    <row r="669" spans="1:36" ht="15.75" customHeight="1" x14ac:dyDescent="0.3">
      <c r="A669" s="23"/>
      <c r="B669" s="23"/>
      <c r="C669" s="23"/>
      <c r="D669" s="23"/>
      <c r="E669" s="23"/>
      <c r="F669" s="23"/>
      <c r="G669" s="23"/>
      <c r="H669" s="95"/>
      <c r="I669" s="95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</row>
    <row r="670" spans="1:36" ht="15.75" customHeight="1" x14ac:dyDescent="0.3">
      <c r="A670" s="23"/>
      <c r="B670" s="23"/>
      <c r="C670" s="23"/>
      <c r="D670" s="23"/>
      <c r="E670" s="23"/>
      <c r="F670" s="23"/>
      <c r="G670" s="23"/>
      <c r="H670" s="95"/>
      <c r="I670" s="95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</row>
    <row r="671" spans="1:36" ht="15.75" customHeight="1" x14ac:dyDescent="0.3">
      <c r="A671" s="23"/>
      <c r="B671" s="23"/>
      <c r="C671" s="23"/>
      <c r="D671" s="23"/>
      <c r="E671" s="23"/>
      <c r="F671" s="23"/>
      <c r="G671" s="23"/>
      <c r="H671" s="95"/>
      <c r="I671" s="95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</row>
    <row r="672" spans="1:36" ht="15.75" customHeight="1" x14ac:dyDescent="0.3">
      <c r="A672" s="23"/>
      <c r="B672" s="23"/>
      <c r="C672" s="23"/>
      <c r="D672" s="23"/>
      <c r="E672" s="23"/>
      <c r="F672" s="23"/>
      <c r="G672" s="23"/>
      <c r="H672" s="95"/>
      <c r="I672" s="95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</row>
    <row r="673" spans="1:36" ht="15.75" customHeight="1" x14ac:dyDescent="0.3">
      <c r="A673" s="23"/>
      <c r="B673" s="23"/>
      <c r="C673" s="23"/>
      <c r="D673" s="23"/>
      <c r="E673" s="23"/>
      <c r="F673" s="23"/>
      <c r="G673" s="23"/>
      <c r="H673" s="95"/>
      <c r="I673" s="95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</row>
    <row r="674" spans="1:36" ht="15.75" customHeight="1" x14ac:dyDescent="0.3">
      <c r="A674" s="23"/>
      <c r="B674" s="23"/>
      <c r="C674" s="23"/>
      <c r="D674" s="23"/>
      <c r="E674" s="23"/>
      <c r="F674" s="23"/>
      <c r="G674" s="23"/>
      <c r="H674" s="95"/>
      <c r="I674" s="95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</row>
    <row r="675" spans="1:36" ht="15.75" customHeight="1" x14ac:dyDescent="0.3">
      <c r="A675" s="23"/>
      <c r="B675" s="23"/>
      <c r="C675" s="23"/>
      <c r="D675" s="23"/>
      <c r="E675" s="23"/>
      <c r="F675" s="23"/>
      <c r="G675" s="23"/>
      <c r="H675" s="95"/>
      <c r="I675" s="95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</row>
    <row r="676" spans="1:36" ht="15.75" customHeight="1" x14ac:dyDescent="0.3">
      <c r="A676" s="23"/>
      <c r="B676" s="23"/>
      <c r="C676" s="23"/>
      <c r="D676" s="23"/>
      <c r="E676" s="23"/>
      <c r="F676" s="23"/>
      <c r="G676" s="23"/>
      <c r="H676" s="95"/>
      <c r="I676" s="95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</row>
    <row r="677" spans="1:36" ht="15.75" customHeight="1" x14ac:dyDescent="0.3">
      <c r="A677" s="23"/>
      <c r="B677" s="23"/>
      <c r="C677" s="23"/>
      <c r="D677" s="23"/>
      <c r="E677" s="23"/>
      <c r="F677" s="23"/>
      <c r="G677" s="23"/>
      <c r="H677" s="95"/>
      <c r="I677" s="95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</row>
    <row r="678" spans="1:36" ht="15.75" customHeight="1" x14ac:dyDescent="0.3">
      <c r="A678" s="23"/>
      <c r="B678" s="23"/>
      <c r="C678" s="23"/>
      <c r="D678" s="23"/>
      <c r="E678" s="23"/>
      <c r="F678" s="23"/>
      <c r="G678" s="23"/>
      <c r="H678" s="95"/>
      <c r="I678" s="95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</row>
    <row r="679" spans="1:36" ht="15.75" customHeight="1" x14ac:dyDescent="0.3">
      <c r="A679" s="23"/>
      <c r="B679" s="23"/>
      <c r="C679" s="23"/>
      <c r="D679" s="23"/>
      <c r="E679" s="23"/>
      <c r="F679" s="23"/>
      <c r="G679" s="23"/>
      <c r="H679" s="95"/>
      <c r="I679" s="95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</row>
    <row r="680" spans="1:36" ht="15.75" customHeight="1" x14ac:dyDescent="0.3">
      <c r="A680" s="23"/>
      <c r="B680" s="23"/>
      <c r="C680" s="23"/>
      <c r="D680" s="23"/>
      <c r="E680" s="23"/>
      <c r="F680" s="23"/>
      <c r="G680" s="23"/>
      <c r="H680" s="95"/>
      <c r="I680" s="95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</row>
    <row r="681" spans="1:36" ht="15.75" customHeight="1" x14ac:dyDescent="0.3">
      <c r="A681" s="23"/>
      <c r="B681" s="23"/>
      <c r="C681" s="23"/>
      <c r="D681" s="23"/>
      <c r="E681" s="23"/>
      <c r="F681" s="23"/>
      <c r="G681" s="23"/>
      <c r="H681" s="95"/>
      <c r="I681" s="95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</row>
    <row r="682" spans="1:36" ht="15.75" customHeight="1" x14ac:dyDescent="0.3">
      <c r="A682" s="23"/>
      <c r="B682" s="23"/>
      <c r="C682" s="23"/>
      <c r="D682" s="23"/>
      <c r="E682" s="23"/>
      <c r="F682" s="23"/>
      <c r="G682" s="23"/>
      <c r="H682" s="95"/>
      <c r="I682" s="95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</row>
    <row r="683" spans="1:36" ht="15.75" customHeight="1" x14ac:dyDescent="0.3">
      <c r="A683" s="23"/>
      <c r="B683" s="23"/>
      <c r="C683" s="23"/>
      <c r="D683" s="23"/>
      <c r="E683" s="23"/>
      <c r="F683" s="23"/>
      <c r="G683" s="23"/>
      <c r="H683" s="95"/>
      <c r="I683" s="95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</row>
    <row r="684" spans="1:36" ht="15.75" customHeight="1" x14ac:dyDescent="0.3">
      <c r="A684" s="23"/>
      <c r="B684" s="23"/>
      <c r="C684" s="23"/>
      <c r="D684" s="23"/>
      <c r="E684" s="23"/>
      <c r="F684" s="23"/>
      <c r="G684" s="23"/>
      <c r="H684" s="95"/>
      <c r="I684" s="95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</row>
    <row r="685" spans="1:36" ht="15.75" customHeight="1" x14ac:dyDescent="0.3">
      <c r="A685" s="23"/>
      <c r="B685" s="23"/>
      <c r="C685" s="23"/>
      <c r="D685" s="23"/>
      <c r="E685" s="23"/>
      <c r="F685" s="23"/>
      <c r="G685" s="23"/>
      <c r="H685" s="95"/>
      <c r="I685" s="95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</row>
    <row r="686" spans="1:36" ht="15.75" customHeight="1" x14ac:dyDescent="0.3">
      <c r="A686" s="23"/>
      <c r="B686" s="23"/>
      <c r="C686" s="23"/>
      <c r="D686" s="23"/>
      <c r="E686" s="23"/>
      <c r="F686" s="23"/>
      <c r="G686" s="23"/>
      <c r="H686" s="95"/>
      <c r="I686" s="95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</row>
    <row r="687" spans="1:36" ht="15.75" customHeight="1" x14ac:dyDescent="0.3">
      <c r="A687" s="23"/>
      <c r="B687" s="23"/>
      <c r="C687" s="23"/>
      <c r="D687" s="23"/>
      <c r="E687" s="23"/>
      <c r="F687" s="23"/>
      <c r="G687" s="23"/>
      <c r="H687" s="95"/>
      <c r="I687" s="95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</row>
    <row r="688" spans="1:36" ht="15.75" customHeight="1" x14ac:dyDescent="0.3">
      <c r="A688" s="23"/>
      <c r="B688" s="23"/>
      <c r="C688" s="23"/>
      <c r="D688" s="23"/>
      <c r="E688" s="23"/>
      <c r="F688" s="23"/>
      <c r="G688" s="23"/>
      <c r="H688" s="95"/>
      <c r="I688" s="95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</row>
    <row r="689" spans="1:36" ht="15.75" customHeight="1" x14ac:dyDescent="0.3">
      <c r="A689" s="23"/>
      <c r="B689" s="23"/>
      <c r="C689" s="23"/>
      <c r="D689" s="23"/>
      <c r="E689" s="23"/>
      <c r="F689" s="23"/>
      <c r="G689" s="23"/>
      <c r="H689" s="95"/>
      <c r="I689" s="95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</row>
    <row r="690" spans="1:36" ht="15.75" customHeight="1" x14ac:dyDescent="0.3">
      <c r="A690" s="23"/>
      <c r="B690" s="23"/>
      <c r="C690" s="23"/>
      <c r="D690" s="23"/>
      <c r="E690" s="23"/>
      <c r="F690" s="23"/>
      <c r="G690" s="23"/>
      <c r="H690" s="95"/>
      <c r="I690" s="95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</row>
    <row r="691" spans="1:36" ht="15.75" customHeight="1" x14ac:dyDescent="0.3">
      <c r="A691" s="23"/>
      <c r="B691" s="23"/>
      <c r="C691" s="23"/>
      <c r="D691" s="23"/>
      <c r="E691" s="23"/>
      <c r="F691" s="23"/>
      <c r="G691" s="23"/>
      <c r="H691" s="95"/>
      <c r="I691" s="95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</row>
    <row r="692" spans="1:36" ht="15.75" customHeight="1" x14ac:dyDescent="0.3">
      <c r="A692" s="23"/>
      <c r="B692" s="23"/>
      <c r="C692" s="23"/>
      <c r="D692" s="23"/>
      <c r="E692" s="23"/>
      <c r="F692" s="23"/>
      <c r="G692" s="23"/>
      <c r="H692" s="95"/>
      <c r="I692" s="95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</row>
    <row r="693" spans="1:36" ht="15.75" customHeight="1" x14ac:dyDescent="0.3">
      <c r="A693" s="23"/>
      <c r="B693" s="23"/>
      <c r="C693" s="23"/>
      <c r="D693" s="23"/>
      <c r="E693" s="23"/>
      <c r="F693" s="23"/>
      <c r="G693" s="23"/>
      <c r="H693" s="95"/>
      <c r="I693" s="95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</row>
    <row r="694" spans="1:36" ht="15.75" customHeight="1" x14ac:dyDescent="0.3">
      <c r="A694" s="23"/>
      <c r="B694" s="23"/>
      <c r="C694" s="23"/>
      <c r="D694" s="23"/>
      <c r="E694" s="23"/>
      <c r="F694" s="23"/>
      <c r="G694" s="23"/>
      <c r="H694" s="95"/>
      <c r="I694" s="95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</row>
    <row r="695" spans="1:36" ht="15.75" customHeight="1" x14ac:dyDescent="0.3">
      <c r="A695" s="23"/>
      <c r="B695" s="23"/>
      <c r="C695" s="23"/>
      <c r="D695" s="23"/>
      <c r="E695" s="23"/>
      <c r="F695" s="23"/>
      <c r="G695" s="23"/>
      <c r="H695" s="95"/>
      <c r="I695" s="95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</row>
    <row r="696" spans="1:36" ht="15.75" customHeight="1" x14ac:dyDescent="0.3">
      <c r="A696" s="23"/>
      <c r="B696" s="23"/>
      <c r="C696" s="23"/>
      <c r="D696" s="23"/>
      <c r="E696" s="23"/>
      <c r="F696" s="23"/>
      <c r="G696" s="23"/>
      <c r="H696" s="95"/>
      <c r="I696" s="95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</row>
    <row r="697" spans="1:36" ht="15.75" customHeight="1" x14ac:dyDescent="0.3">
      <c r="A697" s="23"/>
      <c r="B697" s="23"/>
      <c r="C697" s="23"/>
      <c r="D697" s="23"/>
      <c r="E697" s="23"/>
      <c r="F697" s="23"/>
      <c r="G697" s="23"/>
      <c r="H697" s="95"/>
      <c r="I697" s="95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</row>
    <row r="698" spans="1:36" ht="15.75" customHeight="1" x14ac:dyDescent="0.3">
      <c r="A698" s="23"/>
      <c r="B698" s="23"/>
      <c r="C698" s="23"/>
      <c r="D698" s="23"/>
      <c r="E698" s="23"/>
      <c r="F698" s="23"/>
      <c r="G698" s="23"/>
      <c r="H698" s="95"/>
      <c r="I698" s="95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</row>
    <row r="699" spans="1:36" ht="15.75" customHeight="1" x14ac:dyDescent="0.3">
      <c r="A699" s="23"/>
      <c r="B699" s="23"/>
      <c r="C699" s="23"/>
      <c r="D699" s="23"/>
      <c r="E699" s="23"/>
      <c r="F699" s="23"/>
      <c r="G699" s="23"/>
      <c r="H699" s="95"/>
      <c r="I699" s="95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</row>
    <row r="700" spans="1:36" ht="15.75" customHeight="1" x14ac:dyDescent="0.3">
      <c r="A700" s="23"/>
      <c r="B700" s="23"/>
      <c r="C700" s="23"/>
      <c r="D700" s="23"/>
      <c r="E700" s="23"/>
      <c r="F700" s="23"/>
      <c r="G700" s="23"/>
      <c r="H700" s="95"/>
      <c r="I700" s="95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</row>
    <row r="701" spans="1:36" ht="15.75" customHeight="1" x14ac:dyDescent="0.3">
      <c r="A701" s="23"/>
      <c r="B701" s="23"/>
      <c r="C701" s="23"/>
      <c r="D701" s="23"/>
      <c r="E701" s="23"/>
      <c r="F701" s="23"/>
      <c r="G701" s="23"/>
      <c r="H701" s="95"/>
      <c r="I701" s="95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</row>
    <row r="702" spans="1:36" ht="15.75" customHeight="1" x14ac:dyDescent="0.3">
      <c r="A702" s="23"/>
      <c r="B702" s="23"/>
      <c r="C702" s="23"/>
      <c r="D702" s="23"/>
      <c r="E702" s="23"/>
      <c r="F702" s="23"/>
      <c r="G702" s="23"/>
      <c r="H702" s="95"/>
      <c r="I702" s="95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</row>
    <row r="703" spans="1:36" ht="15.75" customHeight="1" x14ac:dyDescent="0.3">
      <c r="A703" s="23"/>
      <c r="B703" s="23"/>
      <c r="C703" s="23"/>
      <c r="D703" s="23"/>
      <c r="E703" s="23"/>
      <c r="F703" s="23"/>
      <c r="G703" s="23"/>
      <c r="H703" s="95"/>
      <c r="I703" s="95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</row>
    <row r="704" spans="1:36" ht="15.75" customHeight="1" x14ac:dyDescent="0.3">
      <c r="A704" s="23"/>
      <c r="B704" s="23"/>
      <c r="C704" s="23"/>
      <c r="D704" s="23"/>
      <c r="E704" s="23"/>
      <c r="F704" s="23"/>
      <c r="G704" s="23"/>
      <c r="H704" s="95"/>
      <c r="I704" s="95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</row>
    <row r="705" spans="1:36" ht="15.75" customHeight="1" x14ac:dyDescent="0.3">
      <c r="A705" s="23"/>
      <c r="B705" s="23"/>
      <c r="C705" s="23"/>
      <c r="D705" s="23"/>
      <c r="E705" s="23"/>
      <c r="F705" s="23"/>
      <c r="G705" s="23"/>
      <c r="H705" s="95"/>
      <c r="I705" s="95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</row>
    <row r="706" spans="1:36" ht="15.75" customHeight="1" x14ac:dyDescent="0.3">
      <c r="A706" s="23"/>
      <c r="B706" s="23"/>
      <c r="C706" s="23"/>
      <c r="D706" s="23"/>
      <c r="E706" s="23"/>
      <c r="F706" s="23"/>
      <c r="G706" s="23"/>
      <c r="H706" s="95"/>
      <c r="I706" s="95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</row>
    <row r="707" spans="1:36" ht="15.75" customHeight="1" x14ac:dyDescent="0.3">
      <c r="A707" s="23"/>
      <c r="B707" s="23"/>
      <c r="C707" s="23"/>
      <c r="D707" s="23"/>
      <c r="E707" s="23"/>
      <c r="F707" s="23"/>
      <c r="G707" s="23"/>
      <c r="H707" s="95"/>
      <c r="I707" s="95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</row>
    <row r="708" spans="1:36" ht="15.75" customHeight="1" x14ac:dyDescent="0.3">
      <c r="A708" s="23"/>
      <c r="B708" s="23"/>
      <c r="C708" s="23"/>
      <c r="D708" s="23"/>
      <c r="E708" s="23"/>
      <c r="F708" s="23"/>
      <c r="G708" s="23"/>
      <c r="H708" s="95"/>
      <c r="I708" s="95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</row>
    <row r="709" spans="1:36" ht="15.75" customHeight="1" x14ac:dyDescent="0.3">
      <c r="A709" s="23"/>
      <c r="B709" s="23"/>
      <c r="C709" s="23"/>
      <c r="D709" s="23"/>
      <c r="E709" s="23"/>
      <c r="F709" s="23"/>
      <c r="G709" s="23"/>
      <c r="H709" s="95"/>
      <c r="I709" s="95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</row>
    <row r="710" spans="1:36" ht="15.75" customHeight="1" x14ac:dyDescent="0.3">
      <c r="A710" s="23"/>
      <c r="B710" s="23"/>
      <c r="C710" s="23"/>
      <c r="D710" s="23"/>
      <c r="E710" s="23"/>
      <c r="F710" s="23"/>
      <c r="G710" s="23"/>
      <c r="H710" s="95"/>
      <c r="I710" s="95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</row>
    <row r="711" spans="1:36" ht="15.75" customHeight="1" x14ac:dyDescent="0.3">
      <c r="A711" s="23"/>
      <c r="B711" s="23"/>
      <c r="C711" s="23"/>
      <c r="D711" s="23"/>
      <c r="E711" s="23"/>
      <c r="F711" s="23"/>
      <c r="G711" s="23"/>
      <c r="H711" s="95"/>
      <c r="I711" s="95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</row>
    <row r="712" spans="1:36" ht="15.75" customHeight="1" x14ac:dyDescent="0.3">
      <c r="A712" s="23"/>
      <c r="B712" s="23"/>
      <c r="C712" s="23"/>
      <c r="D712" s="23"/>
      <c r="E712" s="23"/>
      <c r="F712" s="23"/>
      <c r="G712" s="23"/>
      <c r="H712" s="95"/>
      <c r="I712" s="95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</row>
    <row r="713" spans="1:36" ht="15.75" customHeight="1" x14ac:dyDescent="0.3">
      <c r="A713" s="23"/>
      <c r="B713" s="23"/>
      <c r="C713" s="23"/>
      <c r="D713" s="23"/>
      <c r="E713" s="23"/>
      <c r="F713" s="23"/>
      <c r="G713" s="23"/>
      <c r="H713" s="95"/>
      <c r="I713" s="95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</row>
    <row r="714" spans="1:36" ht="15.75" customHeight="1" x14ac:dyDescent="0.3">
      <c r="A714" s="23"/>
      <c r="B714" s="23"/>
      <c r="C714" s="23"/>
      <c r="D714" s="23"/>
      <c r="E714" s="23"/>
      <c r="F714" s="23"/>
      <c r="G714" s="23"/>
      <c r="H714" s="95"/>
      <c r="I714" s="95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</row>
    <row r="715" spans="1:36" ht="15.75" customHeight="1" x14ac:dyDescent="0.3">
      <c r="A715" s="23"/>
      <c r="B715" s="23"/>
      <c r="C715" s="23"/>
      <c r="D715" s="23"/>
      <c r="E715" s="23"/>
      <c r="F715" s="23"/>
      <c r="G715" s="23"/>
      <c r="H715" s="95"/>
      <c r="I715" s="95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</row>
    <row r="716" spans="1:36" ht="15.75" customHeight="1" x14ac:dyDescent="0.3">
      <c r="A716" s="23"/>
      <c r="B716" s="23"/>
      <c r="C716" s="23"/>
      <c r="D716" s="23"/>
      <c r="E716" s="23"/>
      <c r="F716" s="23"/>
      <c r="G716" s="23"/>
      <c r="H716" s="95"/>
      <c r="I716" s="95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</row>
    <row r="717" spans="1:36" ht="15.75" customHeight="1" x14ac:dyDescent="0.3">
      <c r="A717" s="23"/>
      <c r="B717" s="23"/>
      <c r="C717" s="23"/>
      <c r="D717" s="23"/>
      <c r="E717" s="23"/>
      <c r="F717" s="23"/>
      <c r="G717" s="23"/>
      <c r="H717" s="95"/>
      <c r="I717" s="95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</row>
    <row r="718" spans="1:36" ht="15.75" customHeight="1" x14ac:dyDescent="0.3">
      <c r="A718" s="23"/>
      <c r="B718" s="23"/>
      <c r="C718" s="23"/>
      <c r="D718" s="23"/>
      <c r="E718" s="23"/>
      <c r="F718" s="23"/>
      <c r="G718" s="23"/>
      <c r="H718" s="95"/>
      <c r="I718" s="95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 spans="1:36" ht="15.75" customHeight="1" x14ac:dyDescent="0.3">
      <c r="A719" s="23"/>
      <c r="B719" s="23"/>
      <c r="C719" s="23"/>
      <c r="D719" s="23"/>
      <c r="E719" s="23"/>
      <c r="F719" s="23"/>
      <c r="G719" s="23"/>
      <c r="H719" s="95"/>
      <c r="I719" s="95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spans="1:36" ht="15.75" customHeight="1" x14ac:dyDescent="0.3">
      <c r="A720" s="23"/>
      <c r="B720" s="23"/>
      <c r="C720" s="23"/>
      <c r="D720" s="23"/>
      <c r="E720" s="23"/>
      <c r="F720" s="23"/>
      <c r="G720" s="23"/>
      <c r="H720" s="95"/>
      <c r="I720" s="95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spans="1:36" ht="15.75" customHeight="1" x14ac:dyDescent="0.3">
      <c r="A721" s="23"/>
      <c r="B721" s="23"/>
      <c r="C721" s="23"/>
      <c r="D721" s="23"/>
      <c r="E721" s="23"/>
      <c r="F721" s="23"/>
      <c r="G721" s="23"/>
      <c r="H721" s="95"/>
      <c r="I721" s="95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spans="1:36" ht="15.75" customHeight="1" x14ac:dyDescent="0.3">
      <c r="A722" s="23"/>
      <c r="B722" s="23"/>
      <c r="C722" s="23"/>
      <c r="D722" s="23"/>
      <c r="E722" s="23"/>
      <c r="F722" s="23"/>
      <c r="G722" s="23"/>
      <c r="H722" s="95"/>
      <c r="I722" s="95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spans="1:36" ht="15.75" customHeight="1" x14ac:dyDescent="0.3">
      <c r="A723" s="23"/>
      <c r="B723" s="23"/>
      <c r="C723" s="23"/>
      <c r="D723" s="23"/>
      <c r="E723" s="23"/>
      <c r="F723" s="23"/>
      <c r="G723" s="23"/>
      <c r="H723" s="95"/>
      <c r="I723" s="95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spans="1:36" ht="15.75" customHeight="1" x14ac:dyDescent="0.3">
      <c r="A724" s="23"/>
      <c r="B724" s="23"/>
      <c r="C724" s="23"/>
      <c r="D724" s="23"/>
      <c r="E724" s="23"/>
      <c r="F724" s="23"/>
      <c r="G724" s="23"/>
      <c r="H724" s="95"/>
      <c r="I724" s="95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spans="1:36" ht="15.75" customHeight="1" x14ac:dyDescent="0.3">
      <c r="A725" s="23"/>
      <c r="B725" s="23"/>
      <c r="C725" s="23"/>
      <c r="D725" s="23"/>
      <c r="E725" s="23"/>
      <c r="F725" s="23"/>
      <c r="G725" s="23"/>
      <c r="H725" s="95"/>
      <c r="I725" s="95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spans="1:36" ht="15.75" customHeight="1" x14ac:dyDescent="0.3">
      <c r="A726" s="23"/>
      <c r="B726" s="23"/>
      <c r="C726" s="23"/>
      <c r="D726" s="23"/>
      <c r="E726" s="23"/>
      <c r="F726" s="23"/>
      <c r="G726" s="23"/>
      <c r="H726" s="95"/>
      <c r="I726" s="95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spans="1:36" ht="15.75" customHeight="1" x14ac:dyDescent="0.3">
      <c r="A727" s="23"/>
      <c r="B727" s="23"/>
      <c r="C727" s="23"/>
      <c r="D727" s="23"/>
      <c r="E727" s="23"/>
      <c r="F727" s="23"/>
      <c r="G727" s="23"/>
      <c r="H727" s="95"/>
      <c r="I727" s="95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spans="1:36" ht="15.75" customHeight="1" x14ac:dyDescent="0.3">
      <c r="A728" s="23"/>
      <c r="B728" s="23"/>
      <c r="C728" s="23"/>
      <c r="D728" s="23"/>
      <c r="E728" s="23"/>
      <c r="F728" s="23"/>
      <c r="G728" s="23"/>
      <c r="H728" s="95"/>
      <c r="I728" s="95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spans="1:36" ht="15.75" customHeight="1" x14ac:dyDescent="0.3">
      <c r="A729" s="23"/>
      <c r="B729" s="23"/>
      <c r="C729" s="23"/>
      <c r="D729" s="23"/>
      <c r="E729" s="23"/>
      <c r="F729" s="23"/>
      <c r="G729" s="23"/>
      <c r="H729" s="95"/>
      <c r="I729" s="95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spans="1:36" ht="15.75" customHeight="1" x14ac:dyDescent="0.3">
      <c r="A730" s="23"/>
      <c r="B730" s="23"/>
      <c r="C730" s="23"/>
      <c r="D730" s="23"/>
      <c r="E730" s="23"/>
      <c r="F730" s="23"/>
      <c r="G730" s="23"/>
      <c r="H730" s="95"/>
      <c r="I730" s="95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spans="1:36" ht="15.75" customHeight="1" x14ac:dyDescent="0.3">
      <c r="A731" s="23"/>
      <c r="B731" s="23"/>
      <c r="C731" s="23"/>
      <c r="D731" s="23"/>
      <c r="E731" s="23"/>
      <c r="F731" s="23"/>
      <c r="G731" s="23"/>
      <c r="H731" s="95"/>
      <c r="I731" s="95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spans="1:36" ht="15.75" customHeight="1" x14ac:dyDescent="0.3">
      <c r="A732" s="23"/>
      <c r="B732" s="23"/>
      <c r="C732" s="23"/>
      <c r="D732" s="23"/>
      <c r="E732" s="23"/>
      <c r="F732" s="23"/>
      <c r="G732" s="23"/>
      <c r="H732" s="95"/>
      <c r="I732" s="95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spans="1:36" ht="15.75" customHeight="1" x14ac:dyDescent="0.3">
      <c r="A733" s="23"/>
      <c r="B733" s="23"/>
      <c r="C733" s="23"/>
      <c r="D733" s="23"/>
      <c r="E733" s="23"/>
      <c r="F733" s="23"/>
      <c r="G733" s="23"/>
      <c r="H733" s="95"/>
      <c r="I733" s="95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spans="1:36" ht="15.75" customHeight="1" x14ac:dyDescent="0.3">
      <c r="A734" s="23"/>
      <c r="B734" s="23"/>
      <c r="C734" s="23"/>
      <c r="D734" s="23"/>
      <c r="E734" s="23"/>
      <c r="F734" s="23"/>
      <c r="G734" s="23"/>
      <c r="H734" s="95"/>
      <c r="I734" s="95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spans="1:36" ht="15.75" customHeight="1" x14ac:dyDescent="0.3">
      <c r="A735" s="23"/>
      <c r="B735" s="23"/>
      <c r="C735" s="23"/>
      <c r="D735" s="23"/>
      <c r="E735" s="23"/>
      <c r="F735" s="23"/>
      <c r="G735" s="23"/>
      <c r="H735" s="95"/>
      <c r="I735" s="95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spans="1:36" ht="15.75" customHeight="1" x14ac:dyDescent="0.3">
      <c r="A736" s="23"/>
      <c r="B736" s="23"/>
      <c r="C736" s="23"/>
      <c r="D736" s="23"/>
      <c r="E736" s="23"/>
      <c r="F736" s="23"/>
      <c r="G736" s="23"/>
      <c r="H736" s="95"/>
      <c r="I736" s="95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spans="1:36" ht="15.75" customHeight="1" x14ac:dyDescent="0.3">
      <c r="A737" s="23"/>
      <c r="B737" s="23"/>
      <c r="C737" s="23"/>
      <c r="D737" s="23"/>
      <c r="E737" s="23"/>
      <c r="F737" s="23"/>
      <c r="G737" s="23"/>
      <c r="H737" s="95"/>
      <c r="I737" s="95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spans="1:36" ht="15.75" customHeight="1" x14ac:dyDescent="0.3">
      <c r="A738" s="23"/>
      <c r="B738" s="23"/>
      <c r="C738" s="23"/>
      <c r="D738" s="23"/>
      <c r="E738" s="23"/>
      <c r="F738" s="23"/>
      <c r="G738" s="23"/>
      <c r="H738" s="95"/>
      <c r="I738" s="95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spans="1:36" ht="15.75" customHeight="1" x14ac:dyDescent="0.3">
      <c r="A739" s="23"/>
      <c r="B739" s="23"/>
      <c r="C739" s="23"/>
      <c r="D739" s="23"/>
      <c r="E739" s="23"/>
      <c r="F739" s="23"/>
      <c r="G739" s="23"/>
      <c r="H739" s="95"/>
      <c r="I739" s="95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spans="1:36" ht="15.75" customHeight="1" x14ac:dyDescent="0.3">
      <c r="A740" s="23"/>
      <c r="B740" s="23"/>
      <c r="C740" s="23"/>
      <c r="D740" s="23"/>
      <c r="E740" s="23"/>
      <c r="F740" s="23"/>
      <c r="G740" s="23"/>
      <c r="H740" s="95"/>
      <c r="I740" s="95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spans="1:36" ht="15.75" customHeight="1" x14ac:dyDescent="0.3">
      <c r="A741" s="23"/>
      <c r="B741" s="23"/>
      <c r="C741" s="23"/>
      <c r="D741" s="23"/>
      <c r="E741" s="23"/>
      <c r="F741" s="23"/>
      <c r="G741" s="23"/>
      <c r="H741" s="95"/>
      <c r="I741" s="95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spans="1:36" ht="15.75" customHeight="1" x14ac:dyDescent="0.3">
      <c r="A742" s="23"/>
      <c r="B742" s="23"/>
      <c r="C742" s="23"/>
      <c r="D742" s="23"/>
      <c r="E742" s="23"/>
      <c r="F742" s="23"/>
      <c r="G742" s="23"/>
      <c r="H742" s="95"/>
      <c r="I742" s="95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spans="1:36" ht="15.75" customHeight="1" x14ac:dyDescent="0.3">
      <c r="A743" s="23"/>
      <c r="B743" s="23"/>
      <c r="C743" s="23"/>
      <c r="D743" s="23"/>
      <c r="E743" s="23"/>
      <c r="F743" s="23"/>
      <c r="G743" s="23"/>
      <c r="H743" s="95"/>
      <c r="I743" s="95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spans="1:36" ht="15.75" customHeight="1" x14ac:dyDescent="0.3">
      <c r="A744" s="23"/>
      <c r="B744" s="23"/>
      <c r="C744" s="23"/>
      <c r="D744" s="23"/>
      <c r="E744" s="23"/>
      <c r="F744" s="23"/>
      <c r="G744" s="23"/>
      <c r="H744" s="95"/>
      <c r="I744" s="95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spans="1:36" ht="15.75" customHeight="1" x14ac:dyDescent="0.3">
      <c r="A745" s="23"/>
      <c r="B745" s="23"/>
      <c r="C745" s="23"/>
      <c r="D745" s="23"/>
      <c r="E745" s="23"/>
      <c r="F745" s="23"/>
      <c r="G745" s="23"/>
      <c r="H745" s="95"/>
      <c r="I745" s="95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spans="1:36" ht="15.75" customHeight="1" x14ac:dyDescent="0.3">
      <c r="A746" s="23"/>
      <c r="B746" s="23"/>
      <c r="C746" s="23"/>
      <c r="D746" s="23"/>
      <c r="E746" s="23"/>
      <c r="F746" s="23"/>
      <c r="G746" s="23"/>
      <c r="H746" s="95"/>
      <c r="I746" s="95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spans="1:36" ht="15.75" customHeight="1" x14ac:dyDescent="0.3">
      <c r="A747" s="23"/>
      <c r="B747" s="23"/>
      <c r="C747" s="23"/>
      <c r="D747" s="23"/>
      <c r="E747" s="23"/>
      <c r="F747" s="23"/>
      <c r="G747" s="23"/>
      <c r="H747" s="95"/>
      <c r="I747" s="95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spans="1:36" ht="15.75" customHeight="1" x14ac:dyDescent="0.3">
      <c r="A748" s="23"/>
      <c r="B748" s="23"/>
      <c r="C748" s="23"/>
      <c r="D748" s="23"/>
      <c r="E748" s="23"/>
      <c r="F748" s="23"/>
      <c r="G748" s="23"/>
      <c r="H748" s="95"/>
      <c r="I748" s="95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spans="1:36" ht="15.75" customHeight="1" x14ac:dyDescent="0.3">
      <c r="A749" s="23"/>
      <c r="B749" s="23"/>
      <c r="C749" s="23"/>
      <c r="D749" s="23"/>
      <c r="E749" s="23"/>
      <c r="F749" s="23"/>
      <c r="G749" s="23"/>
      <c r="H749" s="95"/>
      <c r="I749" s="95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spans="1:36" ht="15.75" customHeight="1" x14ac:dyDescent="0.3">
      <c r="A750" s="23"/>
      <c r="B750" s="23"/>
      <c r="C750" s="23"/>
      <c r="D750" s="23"/>
      <c r="E750" s="23"/>
      <c r="F750" s="23"/>
      <c r="G750" s="23"/>
      <c r="H750" s="95"/>
      <c r="I750" s="95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spans="1:36" ht="15.75" customHeight="1" x14ac:dyDescent="0.3">
      <c r="A751" s="23"/>
      <c r="B751" s="23"/>
      <c r="C751" s="23"/>
      <c r="D751" s="23"/>
      <c r="E751" s="23"/>
      <c r="F751" s="23"/>
      <c r="G751" s="23"/>
      <c r="H751" s="95"/>
      <c r="I751" s="95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spans="1:36" ht="15.75" customHeight="1" x14ac:dyDescent="0.3">
      <c r="A752" s="23"/>
      <c r="B752" s="23"/>
      <c r="C752" s="23"/>
      <c r="D752" s="23"/>
      <c r="E752" s="23"/>
      <c r="F752" s="23"/>
      <c r="G752" s="23"/>
      <c r="H752" s="95"/>
      <c r="I752" s="95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spans="1:36" ht="15.75" customHeight="1" x14ac:dyDescent="0.3">
      <c r="A753" s="23"/>
      <c r="B753" s="23"/>
      <c r="C753" s="23"/>
      <c r="D753" s="23"/>
      <c r="E753" s="23"/>
      <c r="F753" s="23"/>
      <c r="G753" s="23"/>
      <c r="H753" s="95"/>
      <c r="I753" s="95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spans="1:36" ht="15.75" customHeight="1" x14ac:dyDescent="0.3">
      <c r="A754" s="23"/>
      <c r="B754" s="23"/>
      <c r="C754" s="23"/>
      <c r="D754" s="23"/>
      <c r="E754" s="23"/>
      <c r="F754" s="23"/>
      <c r="G754" s="23"/>
      <c r="H754" s="95"/>
      <c r="I754" s="95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spans="1:36" ht="15.75" customHeight="1" x14ac:dyDescent="0.3">
      <c r="A755" s="23"/>
      <c r="B755" s="23"/>
      <c r="C755" s="23"/>
      <c r="D755" s="23"/>
      <c r="E755" s="23"/>
      <c r="F755" s="23"/>
      <c r="G755" s="23"/>
      <c r="H755" s="95"/>
      <c r="I755" s="95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spans="1:36" ht="15.75" customHeight="1" x14ac:dyDescent="0.3">
      <c r="A756" s="23"/>
      <c r="B756" s="23"/>
      <c r="C756" s="23"/>
      <c r="D756" s="23"/>
      <c r="E756" s="23"/>
      <c r="F756" s="23"/>
      <c r="G756" s="23"/>
      <c r="H756" s="95"/>
      <c r="I756" s="95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spans="1:36" ht="15.75" customHeight="1" x14ac:dyDescent="0.3">
      <c r="A757" s="23"/>
      <c r="B757" s="23"/>
      <c r="C757" s="23"/>
      <c r="D757" s="23"/>
      <c r="E757" s="23"/>
      <c r="F757" s="23"/>
      <c r="G757" s="23"/>
      <c r="H757" s="95"/>
      <c r="I757" s="95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spans="1:36" ht="15.75" customHeight="1" x14ac:dyDescent="0.3">
      <c r="A758" s="23"/>
      <c r="B758" s="23"/>
      <c r="C758" s="23"/>
      <c r="D758" s="23"/>
      <c r="E758" s="23"/>
      <c r="F758" s="23"/>
      <c r="G758" s="23"/>
      <c r="H758" s="95"/>
      <c r="I758" s="95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spans="1:36" ht="15.75" customHeight="1" x14ac:dyDescent="0.3">
      <c r="A759" s="23"/>
      <c r="B759" s="23"/>
      <c r="C759" s="23"/>
      <c r="D759" s="23"/>
      <c r="E759" s="23"/>
      <c r="F759" s="23"/>
      <c r="G759" s="23"/>
      <c r="H759" s="95"/>
      <c r="I759" s="95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spans="1:36" ht="15.75" customHeight="1" x14ac:dyDescent="0.3">
      <c r="A760" s="23"/>
      <c r="B760" s="23"/>
      <c r="C760" s="23"/>
      <c r="D760" s="23"/>
      <c r="E760" s="23"/>
      <c r="F760" s="23"/>
      <c r="G760" s="23"/>
      <c r="H760" s="95"/>
      <c r="I760" s="95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spans="1:36" ht="15.75" customHeight="1" x14ac:dyDescent="0.3">
      <c r="A761" s="23"/>
      <c r="B761" s="23"/>
      <c r="C761" s="23"/>
      <c r="D761" s="23"/>
      <c r="E761" s="23"/>
      <c r="F761" s="23"/>
      <c r="G761" s="23"/>
      <c r="H761" s="95"/>
      <c r="I761" s="95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 spans="1:36" ht="15.75" customHeight="1" x14ac:dyDescent="0.3">
      <c r="A762" s="23"/>
      <c r="B762" s="23"/>
      <c r="C762" s="23"/>
      <c r="D762" s="23"/>
      <c r="E762" s="23"/>
      <c r="F762" s="23"/>
      <c r="G762" s="23"/>
      <c r="H762" s="95"/>
      <c r="I762" s="95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</row>
    <row r="763" spans="1:36" ht="15.75" customHeight="1" x14ac:dyDescent="0.3">
      <c r="A763" s="23"/>
      <c r="B763" s="23"/>
      <c r="C763" s="23"/>
      <c r="D763" s="23"/>
      <c r="E763" s="23"/>
      <c r="F763" s="23"/>
      <c r="G763" s="23"/>
      <c r="H763" s="95"/>
      <c r="I763" s="95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</row>
    <row r="764" spans="1:36" ht="15.75" customHeight="1" x14ac:dyDescent="0.3">
      <c r="A764" s="23"/>
      <c r="B764" s="23"/>
      <c r="C764" s="23"/>
      <c r="D764" s="23"/>
      <c r="E764" s="23"/>
      <c r="F764" s="23"/>
      <c r="G764" s="23"/>
      <c r="H764" s="95"/>
      <c r="I764" s="95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</row>
    <row r="765" spans="1:36" ht="15.75" customHeight="1" x14ac:dyDescent="0.3">
      <c r="A765" s="23"/>
      <c r="B765" s="23"/>
      <c r="C765" s="23"/>
      <c r="D765" s="23"/>
      <c r="E765" s="23"/>
      <c r="F765" s="23"/>
      <c r="G765" s="23"/>
      <c r="H765" s="95"/>
      <c r="I765" s="95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</row>
    <row r="766" spans="1:36" ht="15.75" customHeight="1" x14ac:dyDescent="0.3">
      <c r="A766" s="23"/>
      <c r="B766" s="23"/>
      <c r="C766" s="23"/>
      <c r="D766" s="23"/>
      <c r="E766" s="23"/>
      <c r="F766" s="23"/>
      <c r="G766" s="23"/>
      <c r="H766" s="95"/>
      <c r="I766" s="95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</row>
    <row r="767" spans="1:36" ht="15.75" customHeight="1" x14ac:dyDescent="0.3">
      <c r="A767" s="23"/>
      <c r="B767" s="23"/>
      <c r="C767" s="23"/>
      <c r="D767" s="23"/>
      <c r="E767" s="23"/>
      <c r="F767" s="23"/>
      <c r="G767" s="23"/>
      <c r="H767" s="95"/>
      <c r="I767" s="95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</row>
    <row r="768" spans="1:36" ht="15.75" customHeight="1" x14ac:dyDescent="0.3">
      <c r="A768" s="23"/>
      <c r="B768" s="23"/>
      <c r="C768" s="23"/>
      <c r="D768" s="23"/>
      <c r="E768" s="23"/>
      <c r="F768" s="23"/>
      <c r="G768" s="23"/>
      <c r="H768" s="95"/>
      <c r="I768" s="95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</row>
    <row r="769" spans="1:36" ht="15.75" customHeight="1" x14ac:dyDescent="0.3">
      <c r="A769" s="23"/>
      <c r="B769" s="23"/>
      <c r="C769" s="23"/>
      <c r="D769" s="23"/>
      <c r="E769" s="23"/>
      <c r="F769" s="23"/>
      <c r="G769" s="23"/>
      <c r="H769" s="95"/>
      <c r="I769" s="95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</row>
    <row r="770" spans="1:36" ht="15.75" customHeight="1" x14ac:dyDescent="0.3">
      <c r="A770" s="23"/>
      <c r="B770" s="23"/>
      <c r="C770" s="23"/>
      <c r="D770" s="23"/>
      <c r="E770" s="23"/>
      <c r="F770" s="23"/>
      <c r="G770" s="23"/>
      <c r="H770" s="95"/>
      <c r="I770" s="95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</row>
    <row r="771" spans="1:36" ht="15.75" customHeight="1" x14ac:dyDescent="0.3">
      <c r="A771" s="23"/>
      <c r="B771" s="23"/>
      <c r="C771" s="23"/>
      <c r="D771" s="23"/>
      <c r="E771" s="23"/>
      <c r="F771" s="23"/>
      <c r="G771" s="23"/>
      <c r="H771" s="95"/>
      <c r="I771" s="95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</row>
    <row r="772" spans="1:36" ht="15.75" customHeight="1" x14ac:dyDescent="0.3">
      <c r="A772" s="23"/>
      <c r="B772" s="23"/>
      <c r="C772" s="23"/>
      <c r="D772" s="23"/>
      <c r="E772" s="23"/>
      <c r="F772" s="23"/>
      <c r="G772" s="23"/>
      <c r="H772" s="95"/>
      <c r="I772" s="95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</row>
    <row r="773" spans="1:36" ht="15.75" customHeight="1" x14ac:dyDescent="0.3">
      <c r="A773" s="23"/>
      <c r="B773" s="23"/>
      <c r="C773" s="23"/>
      <c r="D773" s="23"/>
      <c r="E773" s="23"/>
      <c r="F773" s="23"/>
      <c r="G773" s="23"/>
      <c r="H773" s="95"/>
      <c r="I773" s="95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</row>
    <row r="774" spans="1:36" ht="15.75" customHeight="1" x14ac:dyDescent="0.3">
      <c r="A774" s="23"/>
      <c r="B774" s="23"/>
      <c r="C774" s="23"/>
      <c r="D774" s="23"/>
      <c r="E774" s="23"/>
      <c r="F774" s="23"/>
      <c r="G774" s="23"/>
      <c r="H774" s="95"/>
      <c r="I774" s="95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</row>
    <row r="775" spans="1:36" ht="15.75" customHeight="1" x14ac:dyDescent="0.3">
      <c r="A775" s="23"/>
      <c r="B775" s="23"/>
      <c r="C775" s="23"/>
      <c r="D775" s="23"/>
      <c r="E775" s="23"/>
      <c r="F775" s="23"/>
      <c r="G775" s="23"/>
      <c r="H775" s="95"/>
      <c r="I775" s="95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</row>
    <row r="776" spans="1:36" ht="15.75" customHeight="1" x14ac:dyDescent="0.3">
      <c r="A776" s="23"/>
      <c r="B776" s="23"/>
      <c r="C776" s="23"/>
      <c r="D776" s="23"/>
      <c r="E776" s="23"/>
      <c r="F776" s="23"/>
      <c r="G776" s="23"/>
      <c r="H776" s="95"/>
      <c r="I776" s="95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</row>
    <row r="777" spans="1:36" ht="15.75" customHeight="1" x14ac:dyDescent="0.3">
      <c r="A777" s="23"/>
      <c r="B777" s="23"/>
      <c r="C777" s="23"/>
      <c r="D777" s="23"/>
      <c r="E777" s="23"/>
      <c r="F777" s="23"/>
      <c r="G777" s="23"/>
      <c r="H777" s="95"/>
      <c r="I777" s="95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</row>
    <row r="778" spans="1:36" ht="15.75" customHeight="1" x14ac:dyDescent="0.3">
      <c r="A778" s="23"/>
      <c r="B778" s="23"/>
      <c r="C778" s="23"/>
      <c r="D778" s="23"/>
      <c r="E778" s="23"/>
      <c r="F778" s="23"/>
      <c r="G778" s="23"/>
      <c r="H778" s="95"/>
      <c r="I778" s="95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</row>
    <row r="779" spans="1:36" ht="15.75" customHeight="1" x14ac:dyDescent="0.3">
      <c r="A779" s="23"/>
      <c r="B779" s="23"/>
      <c r="C779" s="23"/>
      <c r="D779" s="23"/>
      <c r="E779" s="23"/>
      <c r="F779" s="23"/>
      <c r="G779" s="23"/>
      <c r="H779" s="95"/>
      <c r="I779" s="95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</row>
    <row r="780" spans="1:36" ht="15.75" customHeight="1" x14ac:dyDescent="0.3">
      <c r="A780" s="23"/>
      <c r="B780" s="23"/>
      <c r="C780" s="23"/>
      <c r="D780" s="23"/>
      <c r="E780" s="23"/>
      <c r="F780" s="23"/>
      <c r="G780" s="23"/>
      <c r="H780" s="95"/>
      <c r="I780" s="95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</row>
    <row r="781" spans="1:36" ht="15.75" customHeight="1" x14ac:dyDescent="0.3">
      <c r="A781" s="23"/>
      <c r="B781" s="23"/>
      <c r="C781" s="23"/>
      <c r="D781" s="23"/>
      <c r="E781" s="23"/>
      <c r="F781" s="23"/>
      <c r="G781" s="23"/>
      <c r="H781" s="95"/>
      <c r="I781" s="95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</row>
    <row r="782" spans="1:36" ht="15.75" customHeight="1" x14ac:dyDescent="0.3">
      <c r="A782" s="23"/>
      <c r="B782" s="23"/>
      <c r="C782" s="23"/>
      <c r="D782" s="23"/>
      <c r="E782" s="23"/>
      <c r="F782" s="23"/>
      <c r="G782" s="23"/>
      <c r="H782" s="95"/>
      <c r="I782" s="95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</row>
    <row r="783" spans="1:36" ht="15.75" customHeight="1" x14ac:dyDescent="0.3">
      <c r="A783" s="23"/>
      <c r="B783" s="23"/>
      <c r="C783" s="23"/>
      <c r="D783" s="23"/>
      <c r="E783" s="23"/>
      <c r="F783" s="23"/>
      <c r="G783" s="23"/>
      <c r="H783" s="95"/>
      <c r="I783" s="95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</row>
    <row r="784" spans="1:36" ht="15.75" customHeight="1" x14ac:dyDescent="0.3">
      <c r="A784" s="23"/>
      <c r="B784" s="23"/>
      <c r="C784" s="23"/>
      <c r="D784" s="23"/>
      <c r="E784" s="23"/>
      <c r="F784" s="23"/>
      <c r="G784" s="23"/>
      <c r="H784" s="95"/>
      <c r="I784" s="95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</row>
    <row r="785" spans="1:36" ht="15.75" customHeight="1" x14ac:dyDescent="0.3">
      <c r="A785" s="23"/>
      <c r="B785" s="23"/>
      <c r="C785" s="23"/>
      <c r="D785" s="23"/>
      <c r="E785" s="23"/>
      <c r="F785" s="23"/>
      <c r="G785" s="23"/>
      <c r="H785" s="95"/>
      <c r="I785" s="95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</row>
    <row r="786" spans="1:36" ht="15.75" customHeight="1" x14ac:dyDescent="0.3">
      <c r="A786" s="23"/>
      <c r="B786" s="23"/>
      <c r="C786" s="23"/>
      <c r="D786" s="23"/>
      <c r="E786" s="23"/>
      <c r="F786" s="23"/>
      <c r="G786" s="23"/>
      <c r="H786" s="95"/>
      <c r="I786" s="95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</row>
    <row r="787" spans="1:36" ht="15.75" customHeight="1" x14ac:dyDescent="0.3">
      <c r="A787" s="23"/>
      <c r="B787" s="23"/>
      <c r="C787" s="23"/>
      <c r="D787" s="23"/>
      <c r="E787" s="23"/>
      <c r="F787" s="23"/>
      <c r="G787" s="23"/>
      <c r="H787" s="95"/>
      <c r="I787" s="95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</row>
    <row r="788" spans="1:36" ht="15.75" customHeight="1" x14ac:dyDescent="0.3">
      <c r="A788" s="23"/>
      <c r="B788" s="23"/>
      <c r="C788" s="23"/>
      <c r="D788" s="23"/>
      <c r="E788" s="23"/>
      <c r="F788" s="23"/>
      <c r="G788" s="23"/>
      <c r="H788" s="95"/>
      <c r="I788" s="95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</row>
    <row r="789" spans="1:36" ht="15.75" customHeight="1" x14ac:dyDescent="0.3">
      <c r="A789" s="23"/>
      <c r="B789" s="23"/>
      <c r="C789" s="23"/>
      <c r="D789" s="23"/>
      <c r="E789" s="23"/>
      <c r="F789" s="23"/>
      <c r="G789" s="23"/>
      <c r="H789" s="95"/>
      <c r="I789" s="95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</row>
    <row r="790" spans="1:36" ht="15.75" customHeight="1" x14ac:dyDescent="0.3">
      <c r="A790" s="23"/>
      <c r="B790" s="23"/>
      <c r="C790" s="23"/>
      <c r="D790" s="23"/>
      <c r="E790" s="23"/>
      <c r="F790" s="23"/>
      <c r="G790" s="23"/>
      <c r="H790" s="95"/>
      <c r="I790" s="95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</row>
    <row r="791" spans="1:36" ht="15.75" customHeight="1" x14ac:dyDescent="0.3">
      <c r="A791" s="23"/>
      <c r="B791" s="23"/>
      <c r="C791" s="23"/>
      <c r="D791" s="23"/>
      <c r="E791" s="23"/>
      <c r="F791" s="23"/>
      <c r="G791" s="23"/>
      <c r="H791" s="95"/>
      <c r="I791" s="95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</row>
    <row r="792" spans="1:36" ht="15.75" customHeight="1" x14ac:dyDescent="0.3">
      <c r="A792" s="23"/>
      <c r="B792" s="23"/>
      <c r="C792" s="23"/>
      <c r="D792" s="23"/>
      <c r="E792" s="23"/>
      <c r="F792" s="23"/>
      <c r="G792" s="23"/>
      <c r="H792" s="95"/>
      <c r="I792" s="95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</row>
    <row r="793" spans="1:36" ht="15.75" customHeight="1" x14ac:dyDescent="0.3">
      <c r="A793" s="23"/>
      <c r="B793" s="23"/>
      <c r="C793" s="23"/>
      <c r="D793" s="23"/>
      <c r="E793" s="23"/>
      <c r="F793" s="23"/>
      <c r="G793" s="23"/>
      <c r="H793" s="95"/>
      <c r="I793" s="95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</row>
    <row r="794" spans="1:36" ht="15.75" customHeight="1" x14ac:dyDescent="0.3">
      <c r="A794" s="23"/>
      <c r="B794" s="23"/>
      <c r="C794" s="23"/>
      <c r="D794" s="23"/>
      <c r="E794" s="23"/>
      <c r="F794" s="23"/>
      <c r="G794" s="23"/>
      <c r="H794" s="95"/>
      <c r="I794" s="95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</row>
    <row r="795" spans="1:36" ht="15.75" customHeight="1" x14ac:dyDescent="0.3">
      <c r="A795" s="23"/>
      <c r="B795" s="23"/>
      <c r="C795" s="23"/>
      <c r="D795" s="23"/>
      <c r="E795" s="23"/>
      <c r="F795" s="23"/>
      <c r="G795" s="23"/>
      <c r="H795" s="95"/>
      <c r="I795" s="95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</row>
    <row r="796" spans="1:36" ht="15.75" customHeight="1" x14ac:dyDescent="0.3">
      <c r="A796" s="23"/>
      <c r="B796" s="23"/>
      <c r="C796" s="23"/>
      <c r="D796" s="23"/>
      <c r="E796" s="23"/>
      <c r="F796" s="23"/>
      <c r="G796" s="23"/>
      <c r="H796" s="95"/>
      <c r="I796" s="95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</row>
    <row r="797" spans="1:36" ht="15.75" customHeight="1" x14ac:dyDescent="0.3">
      <c r="A797" s="23"/>
      <c r="B797" s="23"/>
      <c r="C797" s="23"/>
      <c r="D797" s="23"/>
      <c r="E797" s="23"/>
      <c r="F797" s="23"/>
      <c r="G797" s="23"/>
      <c r="H797" s="95"/>
      <c r="I797" s="95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</row>
    <row r="798" spans="1:36" ht="15.75" customHeight="1" x14ac:dyDescent="0.3">
      <c r="A798" s="23"/>
      <c r="B798" s="23"/>
      <c r="C798" s="23"/>
      <c r="D798" s="23"/>
      <c r="E798" s="23"/>
      <c r="F798" s="23"/>
      <c r="G798" s="23"/>
      <c r="H798" s="95"/>
      <c r="I798" s="95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</row>
    <row r="799" spans="1:36" ht="15.75" customHeight="1" x14ac:dyDescent="0.3">
      <c r="A799" s="23"/>
      <c r="B799" s="23"/>
      <c r="C799" s="23"/>
      <c r="D799" s="23"/>
      <c r="E799" s="23"/>
      <c r="F799" s="23"/>
      <c r="G799" s="23"/>
      <c r="H799" s="95"/>
      <c r="I799" s="95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</row>
    <row r="800" spans="1:36" ht="15.75" customHeight="1" x14ac:dyDescent="0.3">
      <c r="A800" s="23"/>
      <c r="B800" s="23"/>
      <c r="C800" s="23"/>
      <c r="D800" s="23"/>
      <c r="E800" s="23"/>
      <c r="F800" s="23"/>
      <c r="G800" s="23"/>
      <c r="H800" s="95"/>
      <c r="I800" s="95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</row>
    <row r="801" spans="1:36" ht="15.75" customHeight="1" x14ac:dyDescent="0.3">
      <c r="A801" s="23"/>
      <c r="B801" s="23"/>
      <c r="C801" s="23"/>
      <c r="D801" s="23"/>
      <c r="E801" s="23"/>
      <c r="F801" s="23"/>
      <c r="G801" s="23"/>
      <c r="H801" s="95"/>
      <c r="I801" s="95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</row>
    <row r="802" spans="1:36" ht="15.75" customHeight="1" x14ac:dyDescent="0.3">
      <c r="A802" s="23"/>
      <c r="B802" s="23"/>
      <c r="C802" s="23"/>
      <c r="D802" s="23"/>
      <c r="E802" s="23"/>
      <c r="F802" s="23"/>
      <c r="G802" s="23"/>
      <c r="H802" s="95"/>
      <c r="I802" s="95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</row>
    <row r="803" spans="1:36" ht="15.75" customHeight="1" x14ac:dyDescent="0.3">
      <c r="A803" s="23"/>
      <c r="B803" s="23"/>
      <c r="C803" s="23"/>
      <c r="D803" s="23"/>
      <c r="E803" s="23"/>
      <c r="F803" s="23"/>
      <c r="G803" s="23"/>
      <c r="H803" s="95"/>
      <c r="I803" s="95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</row>
    <row r="804" spans="1:36" ht="15.75" customHeight="1" x14ac:dyDescent="0.3">
      <c r="A804" s="23"/>
      <c r="B804" s="23"/>
      <c r="C804" s="23"/>
      <c r="D804" s="23"/>
      <c r="E804" s="23"/>
      <c r="F804" s="23"/>
      <c r="G804" s="23"/>
      <c r="H804" s="95"/>
      <c r="I804" s="95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</row>
    <row r="805" spans="1:36" ht="15.75" customHeight="1" x14ac:dyDescent="0.3">
      <c r="A805" s="23"/>
      <c r="B805" s="23"/>
      <c r="C805" s="23"/>
      <c r="D805" s="23"/>
      <c r="E805" s="23"/>
      <c r="F805" s="23"/>
      <c r="G805" s="23"/>
      <c r="H805" s="95"/>
      <c r="I805" s="95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</row>
    <row r="806" spans="1:36" ht="15.75" customHeight="1" x14ac:dyDescent="0.3">
      <c r="A806" s="23"/>
      <c r="B806" s="23"/>
      <c r="C806" s="23"/>
      <c r="D806" s="23"/>
      <c r="E806" s="23"/>
      <c r="F806" s="23"/>
      <c r="G806" s="23"/>
      <c r="H806" s="95"/>
      <c r="I806" s="95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</row>
    <row r="807" spans="1:36" ht="15.75" customHeight="1" x14ac:dyDescent="0.3">
      <c r="A807" s="23"/>
      <c r="B807" s="23"/>
      <c r="C807" s="23"/>
      <c r="D807" s="23"/>
      <c r="E807" s="23"/>
      <c r="F807" s="23"/>
      <c r="G807" s="23"/>
      <c r="H807" s="95"/>
      <c r="I807" s="95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</row>
    <row r="808" spans="1:36" ht="15.75" customHeight="1" x14ac:dyDescent="0.3">
      <c r="A808" s="23"/>
      <c r="B808" s="23"/>
      <c r="C808" s="23"/>
      <c r="D808" s="23"/>
      <c r="E808" s="23"/>
      <c r="F808" s="23"/>
      <c r="G808" s="23"/>
      <c r="H808" s="95"/>
      <c r="I808" s="95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</row>
    <row r="809" spans="1:36" ht="15.75" customHeight="1" x14ac:dyDescent="0.3">
      <c r="A809" s="23"/>
      <c r="B809" s="23"/>
      <c r="C809" s="23"/>
      <c r="D809" s="23"/>
      <c r="E809" s="23"/>
      <c r="F809" s="23"/>
      <c r="G809" s="23"/>
      <c r="H809" s="95"/>
      <c r="I809" s="95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</row>
    <row r="810" spans="1:36" ht="15.75" customHeight="1" x14ac:dyDescent="0.3">
      <c r="A810" s="23"/>
      <c r="B810" s="23"/>
      <c r="C810" s="23"/>
      <c r="D810" s="23"/>
      <c r="E810" s="23"/>
      <c r="F810" s="23"/>
      <c r="G810" s="23"/>
      <c r="H810" s="95"/>
      <c r="I810" s="95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</row>
    <row r="811" spans="1:36" ht="15.75" customHeight="1" x14ac:dyDescent="0.3">
      <c r="A811" s="23"/>
      <c r="B811" s="23"/>
      <c r="C811" s="23"/>
      <c r="D811" s="23"/>
      <c r="E811" s="23"/>
      <c r="F811" s="23"/>
      <c r="G811" s="23"/>
      <c r="H811" s="95"/>
      <c r="I811" s="95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</row>
    <row r="812" spans="1:36" ht="15.75" customHeight="1" x14ac:dyDescent="0.3">
      <c r="A812" s="23"/>
      <c r="B812" s="23"/>
      <c r="C812" s="23"/>
      <c r="D812" s="23"/>
      <c r="E812" s="23"/>
      <c r="F812" s="23"/>
      <c r="G812" s="23"/>
      <c r="H812" s="95"/>
      <c r="I812" s="95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</row>
    <row r="813" spans="1:36" ht="15.75" customHeight="1" x14ac:dyDescent="0.3">
      <c r="A813" s="23"/>
      <c r="B813" s="23"/>
      <c r="C813" s="23"/>
      <c r="D813" s="23"/>
      <c r="E813" s="23"/>
      <c r="F813" s="23"/>
      <c r="G813" s="23"/>
      <c r="H813" s="95"/>
      <c r="I813" s="95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</row>
    <row r="814" spans="1:36" ht="15.75" customHeight="1" x14ac:dyDescent="0.3">
      <c r="A814" s="23"/>
      <c r="B814" s="23"/>
      <c r="C814" s="23"/>
      <c r="D814" s="23"/>
      <c r="E814" s="23"/>
      <c r="F814" s="23"/>
      <c r="G814" s="23"/>
      <c r="H814" s="95"/>
      <c r="I814" s="95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</row>
    <row r="815" spans="1:36" ht="15.75" customHeight="1" x14ac:dyDescent="0.3">
      <c r="A815" s="23"/>
      <c r="B815" s="23"/>
      <c r="C815" s="23"/>
      <c r="D815" s="23"/>
      <c r="E815" s="23"/>
      <c r="F815" s="23"/>
      <c r="G815" s="23"/>
      <c r="H815" s="95"/>
      <c r="I815" s="95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</row>
    <row r="816" spans="1:36" ht="15.75" customHeight="1" x14ac:dyDescent="0.3">
      <c r="A816" s="23"/>
      <c r="B816" s="23"/>
      <c r="C816" s="23"/>
      <c r="D816" s="23"/>
      <c r="E816" s="23"/>
      <c r="F816" s="23"/>
      <c r="G816" s="23"/>
      <c r="H816" s="95"/>
      <c r="I816" s="95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</row>
    <row r="817" spans="1:36" ht="15.75" customHeight="1" x14ac:dyDescent="0.3">
      <c r="A817" s="23"/>
      <c r="B817" s="23"/>
      <c r="C817" s="23"/>
      <c r="D817" s="23"/>
      <c r="E817" s="23"/>
      <c r="F817" s="23"/>
      <c r="G817" s="23"/>
      <c r="H817" s="95"/>
      <c r="I817" s="95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</row>
    <row r="818" spans="1:36" ht="15.75" customHeight="1" x14ac:dyDescent="0.3">
      <c r="A818" s="23"/>
      <c r="B818" s="23"/>
      <c r="C818" s="23"/>
      <c r="D818" s="23"/>
      <c r="E818" s="23"/>
      <c r="F818" s="23"/>
      <c r="G818" s="23"/>
      <c r="H818" s="95"/>
      <c r="I818" s="95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</row>
    <row r="819" spans="1:36" ht="15.75" customHeight="1" x14ac:dyDescent="0.3">
      <c r="A819" s="23"/>
      <c r="B819" s="23"/>
      <c r="C819" s="23"/>
      <c r="D819" s="23"/>
      <c r="E819" s="23"/>
      <c r="F819" s="23"/>
      <c r="G819" s="23"/>
      <c r="H819" s="95"/>
      <c r="I819" s="95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</row>
    <row r="820" spans="1:36" ht="15.75" customHeight="1" x14ac:dyDescent="0.3">
      <c r="A820" s="23"/>
      <c r="B820" s="23"/>
      <c r="C820" s="23"/>
      <c r="D820" s="23"/>
      <c r="E820" s="23"/>
      <c r="F820" s="23"/>
      <c r="G820" s="23"/>
      <c r="H820" s="95"/>
      <c r="I820" s="95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</row>
    <row r="821" spans="1:36" ht="15.75" customHeight="1" x14ac:dyDescent="0.3">
      <c r="A821" s="23"/>
      <c r="B821" s="23"/>
      <c r="C821" s="23"/>
      <c r="D821" s="23"/>
      <c r="E821" s="23"/>
      <c r="F821" s="23"/>
      <c r="G821" s="23"/>
      <c r="H821" s="95"/>
      <c r="I821" s="95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</row>
    <row r="822" spans="1:36" ht="15.75" customHeight="1" x14ac:dyDescent="0.3">
      <c r="A822" s="23"/>
      <c r="B822" s="23"/>
      <c r="C822" s="23"/>
      <c r="D822" s="23"/>
      <c r="E822" s="23"/>
      <c r="F822" s="23"/>
      <c r="G822" s="23"/>
      <c r="H822" s="95"/>
      <c r="I822" s="95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</row>
    <row r="823" spans="1:36" ht="15.75" customHeight="1" x14ac:dyDescent="0.3">
      <c r="A823" s="23"/>
      <c r="B823" s="23"/>
      <c r="C823" s="23"/>
      <c r="D823" s="23"/>
      <c r="E823" s="23"/>
      <c r="F823" s="23"/>
      <c r="G823" s="23"/>
      <c r="H823" s="95"/>
      <c r="I823" s="95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</row>
    <row r="824" spans="1:36" ht="15.75" customHeight="1" x14ac:dyDescent="0.3">
      <c r="A824" s="23"/>
      <c r="B824" s="23"/>
      <c r="C824" s="23"/>
      <c r="D824" s="23"/>
      <c r="E824" s="23"/>
      <c r="F824" s="23"/>
      <c r="G824" s="23"/>
      <c r="H824" s="95"/>
      <c r="I824" s="95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</row>
    <row r="825" spans="1:36" ht="15.75" customHeight="1" x14ac:dyDescent="0.3">
      <c r="A825" s="23"/>
      <c r="B825" s="23"/>
      <c r="C825" s="23"/>
      <c r="D825" s="23"/>
      <c r="E825" s="23"/>
      <c r="F825" s="23"/>
      <c r="G825" s="23"/>
      <c r="H825" s="95"/>
      <c r="I825" s="95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</row>
    <row r="826" spans="1:36" ht="15.75" customHeight="1" x14ac:dyDescent="0.3">
      <c r="A826" s="23"/>
      <c r="B826" s="23"/>
      <c r="C826" s="23"/>
      <c r="D826" s="23"/>
      <c r="E826" s="23"/>
      <c r="F826" s="23"/>
      <c r="G826" s="23"/>
      <c r="H826" s="95"/>
      <c r="I826" s="95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</row>
    <row r="827" spans="1:36" ht="15.75" customHeight="1" x14ac:dyDescent="0.3">
      <c r="A827" s="23"/>
      <c r="B827" s="23"/>
      <c r="C827" s="23"/>
      <c r="D827" s="23"/>
      <c r="E827" s="23"/>
      <c r="F827" s="23"/>
      <c r="G827" s="23"/>
      <c r="H827" s="95"/>
      <c r="I827" s="95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</row>
    <row r="828" spans="1:36" ht="15.75" customHeight="1" x14ac:dyDescent="0.3">
      <c r="A828" s="23"/>
      <c r="B828" s="23"/>
      <c r="C828" s="23"/>
      <c r="D828" s="23"/>
      <c r="E828" s="23"/>
      <c r="F828" s="23"/>
      <c r="G828" s="23"/>
      <c r="H828" s="95"/>
      <c r="I828" s="95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</row>
    <row r="829" spans="1:36" ht="15.75" customHeight="1" x14ac:dyDescent="0.3">
      <c r="A829" s="23"/>
      <c r="B829" s="23"/>
      <c r="C829" s="23"/>
      <c r="D829" s="23"/>
      <c r="E829" s="23"/>
      <c r="F829" s="23"/>
      <c r="G829" s="23"/>
      <c r="H829" s="95"/>
      <c r="I829" s="95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</row>
    <row r="830" spans="1:36" ht="15.75" customHeight="1" x14ac:dyDescent="0.3">
      <c r="A830" s="23"/>
      <c r="B830" s="23"/>
      <c r="C830" s="23"/>
      <c r="D830" s="23"/>
      <c r="E830" s="23"/>
      <c r="F830" s="23"/>
      <c r="G830" s="23"/>
      <c r="H830" s="95"/>
      <c r="I830" s="95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</row>
    <row r="831" spans="1:36" ht="15.75" customHeight="1" x14ac:dyDescent="0.3">
      <c r="A831" s="23"/>
      <c r="B831" s="23"/>
      <c r="C831" s="23"/>
      <c r="D831" s="23"/>
      <c r="E831" s="23"/>
      <c r="F831" s="23"/>
      <c r="G831" s="23"/>
      <c r="H831" s="95"/>
      <c r="I831" s="95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</row>
    <row r="832" spans="1:36" ht="15.75" customHeight="1" x14ac:dyDescent="0.3">
      <c r="A832" s="23"/>
      <c r="B832" s="23"/>
      <c r="C832" s="23"/>
      <c r="D832" s="23"/>
      <c r="E832" s="23"/>
      <c r="F832" s="23"/>
      <c r="G832" s="23"/>
      <c r="H832" s="95"/>
      <c r="I832" s="95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</row>
    <row r="833" spans="1:36" ht="15.75" customHeight="1" x14ac:dyDescent="0.3">
      <c r="A833" s="23"/>
      <c r="B833" s="23"/>
      <c r="C833" s="23"/>
      <c r="D833" s="23"/>
      <c r="E833" s="23"/>
      <c r="F833" s="23"/>
      <c r="G833" s="23"/>
      <c r="H833" s="95"/>
      <c r="I833" s="95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</row>
    <row r="834" spans="1:36" ht="15.75" customHeight="1" x14ac:dyDescent="0.3">
      <c r="A834" s="23"/>
      <c r="B834" s="23"/>
      <c r="C834" s="23"/>
      <c r="D834" s="23"/>
      <c r="E834" s="23"/>
      <c r="F834" s="23"/>
      <c r="G834" s="23"/>
      <c r="H834" s="95"/>
      <c r="I834" s="95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</row>
    <row r="835" spans="1:36" ht="15.75" customHeight="1" x14ac:dyDescent="0.3">
      <c r="A835" s="23"/>
      <c r="B835" s="23"/>
      <c r="C835" s="23"/>
      <c r="D835" s="23"/>
      <c r="E835" s="23"/>
      <c r="F835" s="23"/>
      <c r="G835" s="23"/>
      <c r="H835" s="95"/>
      <c r="I835" s="95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</row>
    <row r="836" spans="1:36" ht="15.75" customHeight="1" x14ac:dyDescent="0.3">
      <c r="A836" s="23"/>
      <c r="B836" s="23"/>
      <c r="C836" s="23"/>
      <c r="D836" s="23"/>
      <c r="E836" s="23"/>
      <c r="F836" s="23"/>
      <c r="G836" s="23"/>
      <c r="H836" s="95"/>
      <c r="I836" s="95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</row>
    <row r="837" spans="1:36" ht="15.75" customHeight="1" x14ac:dyDescent="0.3">
      <c r="A837" s="23"/>
      <c r="B837" s="23"/>
      <c r="C837" s="23"/>
      <c r="D837" s="23"/>
      <c r="E837" s="23"/>
      <c r="F837" s="23"/>
      <c r="G837" s="23"/>
      <c r="H837" s="95"/>
      <c r="I837" s="95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</row>
    <row r="838" spans="1:36" ht="15.75" customHeight="1" x14ac:dyDescent="0.3">
      <c r="A838" s="23"/>
      <c r="B838" s="23"/>
      <c r="C838" s="23"/>
      <c r="D838" s="23"/>
      <c r="E838" s="23"/>
      <c r="F838" s="23"/>
      <c r="G838" s="23"/>
      <c r="H838" s="95"/>
      <c r="I838" s="95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</row>
    <row r="839" spans="1:36" ht="15.75" customHeight="1" x14ac:dyDescent="0.3">
      <c r="A839" s="23"/>
      <c r="B839" s="23"/>
      <c r="C839" s="23"/>
      <c r="D839" s="23"/>
      <c r="E839" s="23"/>
      <c r="F839" s="23"/>
      <c r="G839" s="23"/>
      <c r="H839" s="95"/>
      <c r="I839" s="95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</row>
    <row r="840" spans="1:36" ht="15.75" customHeight="1" x14ac:dyDescent="0.3">
      <c r="A840" s="23"/>
      <c r="B840" s="23"/>
      <c r="C840" s="23"/>
      <c r="D840" s="23"/>
      <c r="E840" s="23"/>
      <c r="F840" s="23"/>
      <c r="G840" s="23"/>
      <c r="H840" s="95"/>
      <c r="I840" s="95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</row>
    <row r="841" spans="1:36" ht="15.75" customHeight="1" x14ac:dyDescent="0.3">
      <c r="A841" s="23"/>
      <c r="B841" s="23"/>
      <c r="C841" s="23"/>
      <c r="D841" s="23"/>
      <c r="E841" s="23"/>
      <c r="F841" s="23"/>
      <c r="G841" s="23"/>
      <c r="H841" s="95"/>
      <c r="I841" s="95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</row>
    <row r="842" spans="1:36" ht="15.75" customHeight="1" x14ac:dyDescent="0.3">
      <c r="A842" s="23"/>
      <c r="B842" s="23"/>
      <c r="C842" s="23"/>
      <c r="D842" s="23"/>
      <c r="E842" s="23"/>
      <c r="F842" s="23"/>
      <c r="G842" s="23"/>
      <c r="H842" s="95"/>
      <c r="I842" s="95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</row>
    <row r="843" spans="1:36" ht="15.75" customHeight="1" x14ac:dyDescent="0.3">
      <c r="A843" s="23"/>
      <c r="B843" s="23"/>
      <c r="C843" s="23"/>
      <c r="D843" s="23"/>
      <c r="E843" s="23"/>
      <c r="F843" s="23"/>
      <c r="G843" s="23"/>
      <c r="H843" s="95"/>
      <c r="I843" s="95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</row>
    <row r="844" spans="1:36" ht="15.75" customHeight="1" x14ac:dyDescent="0.3">
      <c r="A844" s="23"/>
      <c r="B844" s="23"/>
      <c r="C844" s="23"/>
      <c r="D844" s="23"/>
      <c r="E844" s="23"/>
      <c r="F844" s="23"/>
      <c r="G844" s="23"/>
      <c r="H844" s="95"/>
      <c r="I844" s="95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</row>
    <row r="845" spans="1:36" ht="15.75" customHeight="1" x14ac:dyDescent="0.3">
      <c r="A845" s="23"/>
      <c r="B845" s="23"/>
      <c r="C845" s="23"/>
      <c r="D845" s="23"/>
      <c r="E845" s="23"/>
      <c r="F845" s="23"/>
      <c r="G845" s="23"/>
      <c r="H845" s="95"/>
      <c r="I845" s="95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</row>
    <row r="846" spans="1:36" ht="15.75" customHeight="1" x14ac:dyDescent="0.3">
      <c r="A846" s="23"/>
      <c r="B846" s="23"/>
      <c r="C846" s="23"/>
      <c r="D846" s="23"/>
      <c r="E846" s="23"/>
      <c r="F846" s="23"/>
      <c r="G846" s="23"/>
      <c r="H846" s="95"/>
      <c r="I846" s="95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</row>
    <row r="847" spans="1:36" ht="15.75" customHeight="1" x14ac:dyDescent="0.3">
      <c r="A847" s="23"/>
      <c r="B847" s="23"/>
      <c r="C847" s="23"/>
      <c r="D847" s="23"/>
      <c r="E847" s="23"/>
      <c r="F847" s="23"/>
      <c r="G847" s="23"/>
      <c r="H847" s="95"/>
      <c r="I847" s="95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</row>
    <row r="848" spans="1:36" ht="15.75" customHeight="1" x14ac:dyDescent="0.3">
      <c r="A848" s="23"/>
      <c r="B848" s="23"/>
      <c r="C848" s="23"/>
      <c r="D848" s="23"/>
      <c r="E848" s="23"/>
      <c r="F848" s="23"/>
      <c r="G848" s="23"/>
      <c r="H848" s="95"/>
      <c r="I848" s="95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 spans="1:36" ht="15.75" customHeight="1" x14ac:dyDescent="0.3">
      <c r="A849" s="23"/>
      <c r="B849" s="23"/>
      <c r="C849" s="23"/>
      <c r="D849" s="23"/>
      <c r="E849" s="23"/>
      <c r="F849" s="23"/>
      <c r="G849" s="23"/>
      <c r="H849" s="95"/>
      <c r="I849" s="95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spans="1:36" ht="15.75" customHeight="1" x14ac:dyDescent="0.3">
      <c r="A850" s="23"/>
      <c r="B850" s="23"/>
      <c r="C850" s="23"/>
      <c r="D850" s="23"/>
      <c r="E850" s="23"/>
      <c r="F850" s="23"/>
      <c r="G850" s="23"/>
      <c r="H850" s="95"/>
      <c r="I850" s="95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spans="1:36" ht="15.75" customHeight="1" x14ac:dyDescent="0.3">
      <c r="A851" s="23"/>
      <c r="B851" s="23"/>
      <c r="C851" s="23"/>
      <c r="D851" s="23"/>
      <c r="E851" s="23"/>
      <c r="F851" s="23"/>
      <c r="G851" s="23"/>
      <c r="H851" s="95"/>
      <c r="I851" s="95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spans="1:36" ht="15.75" customHeight="1" x14ac:dyDescent="0.3">
      <c r="A852" s="23"/>
      <c r="B852" s="23"/>
      <c r="C852" s="23"/>
      <c r="D852" s="23"/>
      <c r="E852" s="23"/>
      <c r="F852" s="23"/>
      <c r="G852" s="23"/>
      <c r="H852" s="95"/>
      <c r="I852" s="95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spans="1:36" ht="15.75" customHeight="1" x14ac:dyDescent="0.3">
      <c r="A853" s="23"/>
      <c r="B853" s="23"/>
      <c r="C853" s="23"/>
      <c r="D853" s="23"/>
      <c r="E853" s="23"/>
      <c r="F853" s="23"/>
      <c r="G853" s="23"/>
      <c r="H853" s="95"/>
      <c r="I853" s="95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spans="1:36" ht="15.75" customHeight="1" x14ac:dyDescent="0.3">
      <c r="A854" s="23"/>
      <c r="B854" s="23"/>
      <c r="C854" s="23"/>
      <c r="D854" s="23"/>
      <c r="E854" s="23"/>
      <c r="F854" s="23"/>
      <c r="G854" s="23"/>
      <c r="H854" s="95"/>
      <c r="I854" s="95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spans="1:36" ht="15.75" customHeight="1" x14ac:dyDescent="0.3">
      <c r="A855" s="23"/>
      <c r="B855" s="23"/>
      <c r="C855" s="23"/>
      <c r="D855" s="23"/>
      <c r="E855" s="23"/>
      <c r="F855" s="23"/>
      <c r="G855" s="23"/>
      <c r="H855" s="95"/>
      <c r="I855" s="95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spans="1:36" ht="15.75" customHeight="1" x14ac:dyDescent="0.3">
      <c r="A856" s="23"/>
      <c r="B856" s="23"/>
      <c r="C856" s="23"/>
      <c r="D856" s="23"/>
      <c r="E856" s="23"/>
      <c r="F856" s="23"/>
      <c r="G856" s="23"/>
      <c r="H856" s="95"/>
      <c r="I856" s="95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spans="1:36" ht="15.75" customHeight="1" x14ac:dyDescent="0.3">
      <c r="A857" s="23"/>
      <c r="B857" s="23"/>
      <c r="C857" s="23"/>
      <c r="D857" s="23"/>
      <c r="E857" s="23"/>
      <c r="F857" s="23"/>
      <c r="G857" s="23"/>
      <c r="H857" s="95"/>
      <c r="I857" s="95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spans="1:36" ht="15.75" customHeight="1" x14ac:dyDescent="0.3">
      <c r="A858" s="23"/>
      <c r="B858" s="23"/>
      <c r="C858" s="23"/>
      <c r="D858" s="23"/>
      <c r="E858" s="23"/>
      <c r="F858" s="23"/>
      <c r="G858" s="23"/>
      <c r="H858" s="95"/>
      <c r="I858" s="95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spans="1:36" ht="15.75" customHeight="1" x14ac:dyDescent="0.3">
      <c r="A859" s="23"/>
      <c r="B859" s="23"/>
      <c r="C859" s="23"/>
      <c r="D859" s="23"/>
      <c r="E859" s="23"/>
      <c r="F859" s="23"/>
      <c r="G859" s="23"/>
      <c r="H859" s="95"/>
      <c r="I859" s="95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spans="1:36" ht="15.75" customHeight="1" x14ac:dyDescent="0.3">
      <c r="A860" s="23"/>
      <c r="B860" s="23"/>
      <c r="C860" s="23"/>
      <c r="D860" s="23"/>
      <c r="E860" s="23"/>
      <c r="F860" s="23"/>
      <c r="G860" s="23"/>
      <c r="H860" s="95"/>
      <c r="I860" s="95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spans="1:36" ht="15.75" customHeight="1" x14ac:dyDescent="0.3">
      <c r="A861" s="23"/>
      <c r="B861" s="23"/>
      <c r="C861" s="23"/>
      <c r="D861" s="23"/>
      <c r="E861" s="23"/>
      <c r="F861" s="23"/>
      <c r="G861" s="23"/>
      <c r="H861" s="95"/>
      <c r="I861" s="95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spans="1:36" ht="15.75" customHeight="1" x14ac:dyDescent="0.3">
      <c r="A862" s="23"/>
      <c r="B862" s="23"/>
      <c r="C862" s="23"/>
      <c r="D862" s="23"/>
      <c r="E862" s="23"/>
      <c r="F862" s="23"/>
      <c r="G862" s="23"/>
      <c r="H862" s="95"/>
      <c r="I862" s="95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spans="1:36" ht="15.75" customHeight="1" x14ac:dyDescent="0.3">
      <c r="A863" s="23"/>
      <c r="B863" s="23"/>
      <c r="C863" s="23"/>
      <c r="D863" s="23"/>
      <c r="E863" s="23"/>
      <c r="F863" s="23"/>
      <c r="G863" s="23"/>
      <c r="H863" s="95"/>
      <c r="I863" s="95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spans="1:36" ht="15.75" customHeight="1" x14ac:dyDescent="0.3">
      <c r="A864" s="23"/>
      <c r="B864" s="23"/>
      <c r="C864" s="23"/>
      <c r="D864" s="23"/>
      <c r="E864" s="23"/>
      <c r="F864" s="23"/>
      <c r="G864" s="23"/>
      <c r="H864" s="95"/>
      <c r="I864" s="95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spans="1:36" ht="15.75" customHeight="1" x14ac:dyDescent="0.3">
      <c r="A865" s="23"/>
      <c r="B865" s="23"/>
      <c r="C865" s="23"/>
      <c r="D865" s="23"/>
      <c r="E865" s="23"/>
      <c r="F865" s="23"/>
      <c r="G865" s="23"/>
      <c r="H865" s="95"/>
      <c r="I865" s="95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spans="1:36" ht="15.75" customHeight="1" x14ac:dyDescent="0.3">
      <c r="A866" s="23"/>
      <c r="B866" s="23"/>
      <c r="C866" s="23"/>
      <c r="D866" s="23"/>
      <c r="E866" s="23"/>
      <c r="F866" s="23"/>
      <c r="G866" s="23"/>
      <c r="H866" s="95"/>
      <c r="I866" s="95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spans="1:36" ht="15.75" customHeight="1" x14ac:dyDescent="0.3">
      <c r="A867" s="23"/>
      <c r="B867" s="23"/>
      <c r="C867" s="23"/>
      <c r="D867" s="23"/>
      <c r="E867" s="23"/>
      <c r="F867" s="23"/>
      <c r="G867" s="23"/>
      <c r="H867" s="95"/>
      <c r="I867" s="95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spans="1:36" ht="15.75" customHeight="1" x14ac:dyDescent="0.3">
      <c r="A868" s="23"/>
      <c r="B868" s="23"/>
      <c r="C868" s="23"/>
      <c r="D868" s="23"/>
      <c r="E868" s="23"/>
      <c r="F868" s="23"/>
      <c r="G868" s="23"/>
      <c r="H868" s="95"/>
      <c r="I868" s="95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spans="1:36" ht="15.75" customHeight="1" x14ac:dyDescent="0.3">
      <c r="A869" s="23"/>
      <c r="B869" s="23"/>
      <c r="C869" s="23"/>
      <c r="D869" s="23"/>
      <c r="E869" s="23"/>
      <c r="F869" s="23"/>
      <c r="G869" s="23"/>
      <c r="H869" s="95"/>
      <c r="I869" s="95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spans="1:36" ht="15.75" customHeight="1" x14ac:dyDescent="0.3">
      <c r="A870" s="23"/>
      <c r="B870" s="23"/>
      <c r="C870" s="23"/>
      <c r="D870" s="23"/>
      <c r="E870" s="23"/>
      <c r="F870" s="23"/>
      <c r="G870" s="23"/>
      <c r="H870" s="95"/>
      <c r="I870" s="95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spans="1:36" ht="15.75" customHeight="1" x14ac:dyDescent="0.3">
      <c r="A871" s="23"/>
      <c r="B871" s="23"/>
      <c r="C871" s="23"/>
      <c r="D871" s="23"/>
      <c r="E871" s="23"/>
      <c r="F871" s="23"/>
      <c r="G871" s="23"/>
      <c r="H871" s="95"/>
      <c r="I871" s="95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spans="1:36" ht="15.75" customHeight="1" x14ac:dyDescent="0.3">
      <c r="A872" s="23"/>
      <c r="B872" s="23"/>
      <c r="C872" s="23"/>
      <c r="D872" s="23"/>
      <c r="E872" s="23"/>
      <c r="F872" s="23"/>
      <c r="G872" s="23"/>
      <c r="H872" s="95"/>
      <c r="I872" s="95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spans="1:36" ht="15.75" customHeight="1" x14ac:dyDescent="0.3">
      <c r="A873" s="23"/>
      <c r="B873" s="23"/>
      <c r="C873" s="23"/>
      <c r="D873" s="23"/>
      <c r="E873" s="23"/>
      <c r="F873" s="23"/>
      <c r="G873" s="23"/>
      <c r="H873" s="95"/>
      <c r="I873" s="95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spans="1:36" ht="15.75" customHeight="1" x14ac:dyDescent="0.3">
      <c r="A874" s="23"/>
      <c r="B874" s="23"/>
      <c r="C874" s="23"/>
      <c r="D874" s="23"/>
      <c r="E874" s="23"/>
      <c r="F874" s="23"/>
      <c r="G874" s="23"/>
      <c r="H874" s="95"/>
      <c r="I874" s="95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spans="1:36" ht="15.75" customHeight="1" x14ac:dyDescent="0.3">
      <c r="A875" s="23"/>
      <c r="B875" s="23"/>
      <c r="C875" s="23"/>
      <c r="D875" s="23"/>
      <c r="E875" s="23"/>
      <c r="F875" s="23"/>
      <c r="G875" s="23"/>
      <c r="H875" s="95"/>
      <c r="I875" s="95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spans="1:36" ht="15.75" customHeight="1" x14ac:dyDescent="0.3">
      <c r="A876" s="23"/>
      <c r="B876" s="23"/>
      <c r="C876" s="23"/>
      <c r="D876" s="23"/>
      <c r="E876" s="23"/>
      <c r="F876" s="23"/>
      <c r="G876" s="23"/>
      <c r="H876" s="95"/>
      <c r="I876" s="95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spans="1:36" ht="15.75" customHeight="1" x14ac:dyDescent="0.3">
      <c r="A877" s="23"/>
      <c r="B877" s="23"/>
      <c r="C877" s="23"/>
      <c r="D877" s="23"/>
      <c r="E877" s="23"/>
      <c r="F877" s="23"/>
      <c r="G877" s="23"/>
      <c r="H877" s="95"/>
      <c r="I877" s="95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spans="1:36" ht="15.75" customHeight="1" x14ac:dyDescent="0.3">
      <c r="A878" s="23"/>
      <c r="B878" s="23"/>
      <c r="C878" s="23"/>
      <c r="D878" s="23"/>
      <c r="E878" s="23"/>
      <c r="F878" s="23"/>
      <c r="G878" s="23"/>
      <c r="H878" s="95"/>
      <c r="I878" s="95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spans="1:36" ht="15.75" customHeight="1" x14ac:dyDescent="0.3">
      <c r="A879" s="23"/>
      <c r="B879" s="23"/>
      <c r="C879" s="23"/>
      <c r="D879" s="23"/>
      <c r="E879" s="23"/>
      <c r="F879" s="23"/>
      <c r="G879" s="23"/>
      <c r="H879" s="95"/>
      <c r="I879" s="95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spans="1:36" ht="15.75" customHeight="1" x14ac:dyDescent="0.3">
      <c r="A880" s="23"/>
      <c r="B880" s="23"/>
      <c r="C880" s="23"/>
      <c r="D880" s="23"/>
      <c r="E880" s="23"/>
      <c r="F880" s="23"/>
      <c r="G880" s="23"/>
      <c r="H880" s="95"/>
      <c r="I880" s="95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spans="1:36" ht="15.75" customHeight="1" x14ac:dyDescent="0.3">
      <c r="A881" s="23"/>
      <c r="B881" s="23"/>
      <c r="C881" s="23"/>
      <c r="D881" s="23"/>
      <c r="E881" s="23"/>
      <c r="F881" s="23"/>
      <c r="G881" s="23"/>
      <c r="H881" s="95"/>
      <c r="I881" s="95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spans="1:36" ht="15.75" customHeight="1" x14ac:dyDescent="0.3">
      <c r="A882" s="23"/>
      <c r="B882" s="23"/>
      <c r="C882" s="23"/>
      <c r="D882" s="23"/>
      <c r="E882" s="23"/>
      <c r="F882" s="23"/>
      <c r="G882" s="23"/>
      <c r="H882" s="95"/>
      <c r="I882" s="95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spans="1:36" ht="15.75" customHeight="1" x14ac:dyDescent="0.3">
      <c r="A883" s="23"/>
      <c r="B883" s="23"/>
      <c r="C883" s="23"/>
      <c r="D883" s="23"/>
      <c r="E883" s="23"/>
      <c r="F883" s="23"/>
      <c r="G883" s="23"/>
      <c r="H883" s="95"/>
      <c r="I883" s="95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spans="1:36" ht="15.75" customHeight="1" x14ac:dyDescent="0.3">
      <c r="A884" s="23"/>
      <c r="B884" s="23"/>
      <c r="C884" s="23"/>
      <c r="D884" s="23"/>
      <c r="E884" s="23"/>
      <c r="F884" s="23"/>
      <c r="G884" s="23"/>
      <c r="H884" s="95"/>
      <c r="I884" s="95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spans="1:36" ht="15.75" customHeight="1" x14ac:dyDescent="0.3">
      <c r="A885" s="23"/>
      <c r="B885" s="23"/>
      <c r="C885" s="23"/>
      <c r="D885" s="23"/>
      <c r="E885" s="23"/>
      <c r="F885" s="23"/>
      <c r="G885" s="23"/>
      <c r="H885" s="95"/>
      <c r="I885" s="95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spans="1:36" ht="15.75" customHeight="1" x14ac:dyDescent="0.3">
      <c r="A886" s="23"/>
      <c r="B886" s="23"/>
      <c r="C886" s="23"/>
      <c r="D886" s="23"/>
      <c r="E886" s="23"/>
      <c r="F886" s="23"/>
      <c r="G886" s="23"/>
      <c r="H886" s="95"/>
      <c r="I886" s="95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spans="1:36" ht="15.75" customHeight="1" x14ac:dyDescent="0.3">
      <c r="A887" s="23"/>
      <c r="B887" s="23"/>
      <c r="C887" s="23"/>
      <c r="D887" s="23"/>
      <c r="E887" s="23"/>
      <c r="F887" s="23"/>
      <c r="G887" s="23"/>
      <c r="H887" s="95"/>
      <c r="I887" s="95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spans="1:36" ht="15.75" customHeight="1" x14ac:dyDescent="0.3">
      <c r="A888" s="23"/>
      <c r="B888" s="23"/>
      <c r="C888" s="23"/>
      <c r="D888" s="23"/>
      <c r="E888" s="23"/>
      <c r="F888" s="23"/>
      <c r="G888" s="23"/>
      <c r="H888" s="95"/>
      <c r="I888" s="95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spans="1:36" ht="15.75" customHeight="1" x14ac:dyDescent="0.3">
      <c r="A889" s="23"/>
      <c r="B889" s="23"/>
      <c r="C889" s="23"/>
      <c r="D889" s="23"/>
      <c r="E889" s="23"/>
      <c r="F889" s="23"/>
      <c r="G889" s="23"/>
      <c r="H889" s="95"/>
      <c r="I889" s="95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spans="1:36" ht="15.75" customHeight="1" x14ac:dyDescent="0.3">
      <c r="A890" s="23"/>
      <c r="B890" s="23"/>
      <c r="C890" s="23"/>
      <c r="D890" s="23"/>
      <c r="E890" s="23"/>
      <c r="F890" s="23"/>
      <c r="G890" s="23"/>
      <c r="H890" s="95"/>
      <c r="I890" s="95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spans="1:36" ht="15.75" customHeight="1" x14ac:dyDescent="0.3">
      <c r="A891" s="23"/>
      <c r="B891" s="23"/>
      <c r="C891" s="23"/>
      <c r="D891" s="23"/>
      <c r="E891" s="23"/>
      <c r="F891" s="23"/>
      <c r="G891" s="23"/>
      <c r="H891" s="95"/>
      <c r="I891" s="95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 spans="1:36" ht="15.75" customHeight="1" x14ac:dyDescent="0.3">
      <c r="A892" s="23"/>
      <c r="B892" s="23"/>
      <c r="C892" s="23"/>
      <c r="D892" s="23"/>
      <c r="E892" s="23"/>
      <c r="F892" s="23"/>
      <c r="G892" s="23"/>
      <c r="H892" s="95"/>
      <c r="I892" s="95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</row>
    <row r="893" spans="1:36" ht="15.75" customHeight="1" x14ac:dyDescent="0.3">
      <c r="A893" s="23"/>
      <c r="B893" s="23"/>
      <c r="C893" s="23"/>
      <c r="D893" s="23"/>
      <c r="E893" s="23"/>
      <c r="F893" s="23"/>
      <c r="G893" s="23"/>
      <c r="H893" s="95"/>
      <c r="I893" s="95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</row>
    <row r="894" spans="1:36" ht="15.75" customHeight="1" x14ac:dyDescent="0.3">
      <c r="A894" s="23"/>
      <c r="B894" s="23"/>
      <c r="C894" s="23"/>
      <c r="D894" s="23"/>
      <c r="E894" s="23"/>
      <c r="F894" s="23"/>
      <c r="G894" s="23"/>
      <c r="H894" s="95"/>
      <c r="I894" s="95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</row>
    <row r="895" spans="1:36" ht="15.75" customHeight="1" x14ac:dyDescent="0.3">
      <c r="A895" s="23"/>
      <c r="B895" s="23"/>
      <c r="C895" s="23"/>
      <c r="D895" s="23"/>
      <c r="E895" s="23"/>
      <c r="F895" s="23"/>
      <c r="G895" s="23"/>
      <c r="H895" s="95"/>
      <c r="I895" s="95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</row>
    <row r="896" spans="1:36" ht="15.75" customHeight="1" x14ac:dyDescent="0.3">
      <c r="A896" s="23"/>
      <c r="B896" s="23"/>
      <c r="C896" s="23"/>
      <c r="D896" s="23"/>
      <c r="E896" s="23"/>
      <c r="F896" s="23"/>
      <c r="G896" s="23"/>
      <c r="H896" s="95"/>
      <c r="I896" s="95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</row>
    <row r="897" spans="1:36" ht="15.75" customHeight="1" x14ac:dyDescent="0.3">
      <c r="A897" s="23"/>
      <c r="B897" s="23"/>
      <c r="C897" s="23"/>
      <c r="D897" s="23"/>
      <c r="E897" s="23"/>
      <c r="F897" s="23"/>
      <c r="G897" s="23"/>
      <c r="H897" s="95"/>
      <c r="I897" s="95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</row>
    <row r="898" spans="1:36" ht="15.75" customHeight="1" x14ac:dyDescent="0.3">
      <c r="A898" s="23"/>
      <c r="B898" s="23"/>
      <c r="C898" s="23"/>
      <c r="D898" s="23"/>
      <c r="E898" s="23"/>
      <c r="F898" s="23"/>
      <c r="G898" s="23"/>
      <c r="H898" s="95"/>
      <c r="I898" s="95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</row>
    <row r="899" spans="1:36" ht="15.75" customHeight="1" x14ac:dyDescent="0.3">
      <c r="A899" s="23"/>
      <c r="B899" s="23"/>
      <c r="C899" s="23"/>
      <c r="D899" s="23"/>
      <c r="E899" s="23"/>
      <c r="F899" s="23"/>
      <c r="G899" s="23"/>
      <c r="H899" s="95"/>
      <c r="I899" s="95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</row>
    <row r="900" spans="1:36" ht="15.75" customHeight="1" x14ac:dyDescent="0.3">
      <c r="A900" s="23"/>
      <c r="B900" s="23"/>
      <c r="C900" s="23"/>
      <c r="D900" s="23"/>
      <c r="E900" s="23"/>
      <c r="F900" s="23"/>
      <c r="G900" s="23"/>
      <c r="H900" s="95"/>
      <c r="I900" s="95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</row>
    <row r="901" spans="1:36" ht="15.75" customHeight="1" x14ac:dyDescent="0.3">
      <c r="A901" s="23"/>
      <c r="B901" s="23"/>
      <c r="C901" s="23"/>
      <c r="D901" s="23"/>
      <c r="E901" s="23"/>
      <c r="F901" s="23"/>
      <c r="G901" s="23"/>
      <c r="H901" s="95"/>
      <c r="I901" s="95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</row>
    <row r="902" spans="1:36" ht="15.75" customHeight="1" x14ac:dyDescent="0.3">
      <c r="A902" s="23"/>
      <c r="B902" s="23"/>
      <c r="C902" s="23"/>
      <c r="D902" s="23"/>
      <c r="E902" s="23"/>
      <c r="F902" s="23"/>
      <c r="G902" s="23"/>
      <c r="H902" s="95"/>
      <c r="I902" s="95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</row>
    <row r="903" spans="1:36" ht="15.75" customHeight="1" x14ac:dyDescent="0.3">
      <c r="A903" s="23"/>
      <c r="B903" s="23"/>
      <c r="C903" s="23"/>
      <c r="D903" s="23"/>
      <c r="E903" s="23"/>
      <c r="F903" s="23"/>
      <c r="G903" s="23"/>
      <c r="H903" s="95"/>
      <c r="I903" s="95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</row>
    <row r="904" spans="1:36" ht="15.75" customHeight="1" x14ac:dyDescent="0.3">
      <c r="A904" s="23"/>
      <c r="B904" s="23"/>
      <c r="C904" s="23"/>
      <c r="D904" s="23"/>
      <c r="E904" s="23"/>
      <c r="F904" s="23"/>
      <c r="G904" s="23"/>
      <c r="H904" s="95"/>
      <c r="I904" s="95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</row>
    <row r="905" spans="1:36" ht="15.75" customHeight="1" x14ac:dyDescent="0.3">
      <c r="A905" s="23"/>
      <c r="B905" s="23"/>
      <c r="C905" s="23"/>
      <c r="D905" s="23"/>
      <c r="E905" s="23"/>
      <c r="F905" s="23"/>
      <c r="G905" s="23"/>
      <c r="H905" s="95"/>
      <c r="I905" s="95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</row>
    <row r="906" spans="1:36" ht="15.75" customHeight="1" x14ac:dyDescent="0.3">
      <c r="A906" s="23"/>
      <c r="B906" s="23"/>
      <c r="C906" s="23"/>
      <c r="D906" s="23"/>
      <c r="E906" s="23"/>
      <c r="F906" s="23"/>
      <c r="G906" s="23"/>
      <c r="H906" s="95"/>
      <c r="I906" s="95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</row>
    <row r="907" spans="1:36" ht="15.75" customHeight="1" x14ac:dyDescent="0.3">
      <c r="A907" s="23"/>
      <c r="B907" s="23"/>
      <c r="C907" s="23"/>
      <c r="D907" s="23"/>
      <c r="E907" s="23"/>
      <c r="F907" s="23"/>
      <c r="G907" s="23"/>
      <c r="H907" s="95"/>
      <c r="I907" s="95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</row>
    <row r="908" spans="1:36" ht="15.75" customHeight="1" x14ac:dyDescent="0.3">
      <c r="A908" s="23"/>
      <c r="B908" s="23"/>
      <c r="C908" s="23"/>
      <c r="D908" s="23"/>
      <c r="E908" s="23"/>
      <c r="F908" s="23"/>
      <c r="G908" s="23"/>
      <c r="H908" s="95"/>
      <c r="I908" s="95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</row>
    <row r="909" spans="1:36" ht="15.75" customHeight="1" x14ac:dyDescent="0.3">
      <c r="A909" s="23"/>
      <c r="B909" s="23"/>
      <c r="C909" s="23"/>
      <c r="D909" s="23"/>
      <c r="E909" s="23"/>
      <c r="F909" s="23"/>
      <c r="G909" s="23"/>
      <c r="H909" s="95"/>
      <c r="I909" s="95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</row>
    <row r="910" spans="1:36" ht="15.75" customHeight="1" x14ac:dyDescent="0.3">
      <c r="A910" s="23"/>
      <c r="B910" s="23"/>
      <c r="C910" s="23"/>
      <c r="D910" s="23"/>
      <c r="E910" s="23"/>
      <c r="F910" s="23"/>
      <c r="G910" s="23"/>
      <c r="H910" s="95"/>
      <c r="I910" s="95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</row>
    <row r="911" spans="1:36" ht="15.75" customHeight="1" x14ac:dyDescent="0.3">
      <c r="A911" s="23"/>
      <c r="B911" s="23"/>
      <c r="C911" s="23"/>
      <c r="D911" s="23"/>
      <c r="E911" s="23"/>
      <c r="F911" s="23"/>
      <c r="G911" s="23"/>
      <c r="H911" s="95"/>
      <c r="I911" s="95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</row>
    <row r="912" spans="1:36" ht="15.75" customHeight="1" x14ac:dyDescent="0.3">
      <c r="A912" s="23"/>
      <c r="B912" s="23"/>
      <c r="C912" s="23"/>
      <c r="D912" s="23"/>
      <c r="E912" s="23"/>
      <c r="F912" s="23"/>
      <c r="G912" s="23"/>
      <c r="H912" s="95"/>
      <c r="I912" s="95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</row>
    <row r="913" spans="1:36" ht="15.75" customHeight="1" x14ac:dyDescent="0.3">
      <c r="A913" s="23"/>
      <c r="B913" s="23"/>
      <c r="C913" s="23"/>
      <c r="D913" s="23"/>
      <c r="E913" s="23"/>
      <c r="F913" s="23"/>
      <c r="G913" s="23"/>
      <c r="H913" s="95"/>
      <c r="I913" s="95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</row>
    <row r="914" spans="1:36" ht="15.75" customHeight="1" x14ac:dyDescent="0.3">
      <c r="A914" s="23"/>
      <c r="B914" s="23"/>
      <c r="C914" s="23"/>
      <c r="D914" s="23"/>
      <c r="E914" s="23"/>
      <c r="F914" s="23"/>
      <c r="G914" s="23"/>
      <c r="H914" s="95"/>
      <c r="I914" s="95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</row>
    <row r="915" spans="1:36" ht="15.75" customHeight="1" x14ac:dyDescent="0.3">
      <c r="A915" s="23"/>
      <c r="B915" s="23"/>
      <c r="C915" s="23"/>
      <c r="D915" s="23"/>
      <c r="E915" s="23"/>
      <c r="F915" s="23"/>
      <c r="G915" s="23"/>
      <c r="H915" s="95"/>
      <c r="I915" s="95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</row>
    <row r="916" spans="1:36" ht="15.75" customHeight="1" x14ac:dyDescent="0.3">
      <c r="A916" s="23"/>
      <c r="B916" s="23"/>
      <c r="C916" s="23"/>
      <c r="D916" s="23"/>
      <c r="E916" s="23"/>
      <c r="F916" s="23"/>
      <c r="G916" s="23"/>
      <c r="H916" s="95"/>
      <c r="I916" s="95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</row>
    <row r="917" spans="1:36" ht="15.75" customHeight="1" x14ac:dyDescent="0.3">
      <c r="A917" s="23"/>
      <c r="B917" s="23"/>
      <c r="C917" s="23"/>
      <c r="D917" s="23"/>
      <c r="E917" s="23"/>
      <c r="F917" s="23"/>
      <c r="G917" s="23"/>
      <c r="H917" s="95"/>
      <c r="I917" s="95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</row>
    <row r="918" spans="1:36" ht="15.75" customHeight="1" x14ac:dyDescent="0.3">
      <c r="A918" s="23"/>
      <c r="B918" s="23"/>
      <c r="C918" s="23"/>
      <c r="D918" s="23"/>
      <c r="E918" s="23"/>
      <c r="F918" s="23"/>
      <c r="G918" s="23"/>
      <c r="H918" s="95"/>
      <c r="I918" s="95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</row>
    <row r="919" spans="1:36" ht="15.75" customHeight="1" x14ac:dyDescent="0.3">
      <c r="A919" s="23"/>
      <c r="B919" s="23"/>
      <c r="C919" s="23"/>
      <c r="D919" s="23"/>
      <c r="E919" s="23"/>
      <c r="F919" s="23"/>
      <c r="G919" s="23"/>
      <c r="H919" s="95"/>
      <c r="I919" s="95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</row>
    <row r="920" spans="1:36" ht="15.75" customHeight="1" x14ac:dyDescent="0.3">
      <c r="A920" s="23"/>
      <c r="B920" s="23"/>
      <c r="C920" s="23"/>
      <c r="D920" s="23"/>
      <c r="E920" s="23"/>
      <c r="F920" s="23"/>
      <c r="G920" s="23"/>
      <c r="H920" s="95"/>
      <c r="I920" s="95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</row>
    <row r="921" spans="1:36" ht="15.75" customHeight="1" x14ac:dyDescent="0.3">
      <c r="A921" s="23"/>
      <c r="B921" s="23"/>
      <c r="C921" s="23"/>
      <c r="D921" s="23"/>
      <c r="E921" s="23"/>
      <c r="F921" s="23"/>
      <c r="G921" s="23"/>
      <c r="H921" s="95"/>
      <c r="I921" s="95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</row>
    <row r="922" spans="1:36" ht="15.75" customHeight="1" x14ac:dyDescent="0.3">
      <c r="A922" s="23"/>
      <c r="B922" s="23"/>
      <c r="C922" s="23"/>
      <c r="D922" s="23"/>
      <c r="E922" s="23"/>
      <c r="F922" s="23"/>
      <c r="G922" s="23"/>
      <c r="H922" s="95"/>
      <c r="I922" s="95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</row>
    <row r="923" spans="1:36" ht="15.75" customHeight="1" x14ac:dyDescent="0.3">
      <c r="A923" s="23"/>
      <c r="B923" s="23"/>
      <c r="C923" s="23"/>
      <c r="D923" s="23"/>
      <c r="E923" s="23"/>
      <c r="F923" s="23"/>
      <c r="G923" s="23"/>
      <c r="H923" s="95"/>
      <c r="I923" s="95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</row>
    <row r="924" spans="1:36" ht="15.75" customHeight="1" x14ac:dyDescent="0.3">
      <c r="A924" s="23"/>
      <c r="B924" s="23"/>
      <c r="C924" s="23"/>
      <c r="D924" s="23"/>
      <c r="E924" s="23"/>
      <c r="F924" s="23"/>
      <c r="G924" s="23"/>
      <c r="H924" s="95"/>
      <c r="I924" s="95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</row>
    <row r="925" spans="1:36" ht="15.75" customHeight="1" x14ac:dyDescent="0.3">
      <c r="A925" s="23"/>
      <c r="B925" s="23"/>
      <c r="C925" s="23"/>
      <c r="D925" s="23"/>
      <c r="E925" s="23"/>
      <c r="F925" s="23"/>
      <c r="G925" s="23"/>
      <c r="H925" s="95"/>
      <c r="I925" s="95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</row>
    <row r="926" spans="1:36" ht="15.75" customHeight="1" x14ac:dyDescent="0.3">
      <c r="A926" s="23"/>
      <c r="B926" s="23"/>
      <c r="C926" s="23"/>
      <c r="D926" s="23"/>
      <c r="E926" s="23"/>
      <c r="F926" s="23"/>
      <c r="G926" s="23"/>
      <c r="H926" s="95"/>
      <c r="I926" s="95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</row>
    <row r="927" spans="1:36" ht="15.75" customHeight="1" x14ac:dyDescent="0.3">
      <c r="A927" s="23"/>
      <c r="B927" s="23"/>
      <c r="C927" s="23"/>
      <c r="D927" s="23"/>
      <c r="E927" s="23"/>
      <c r="F927" s="23"/>
      <c r="G927" s="23"/>
      <c r="H927" s="95"/>
      <c r="I927" s="95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</row>
    <row r="928" spans="1:36" ht="15.75" customHeight="1" x14ac:dyDescent="0.3">
      <c r="A928" s="23"/>
      <c r="B928" s="23"/>
      <c r="C928" s="23"/>
      <c r="D928" s="23"/>
      <c r="E928" s="23"/>
      <c r="F928" s="23"/>
      <c r="G928" s="23"/>
      <c r="H928" s="95"/>
      <c r="I928" s="95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</row>
    <row r="929" spans="1:36" ht="15.75" customHeight="1" x14ac:dyDescent="0.3">
      <c r="A929" s="23"/>
      <c r="B929" s="23"/>
      <c r="C929" s="23"/>
      <c r="D929" s="23"/>
      <c r="E929" s="23"/>
      <c r="F929" s="23"/>
      <c r="G929" s="23"/>
      <c r="H929" s="95"/>
      <c r="I929" s="95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</row>
    <row r="930" spans="1:36" ht="15.75" customHeight="1" x14ac:dyDescent="0.3">
      <c r="A930" s="23"/>
      <c r="B930" s="23"/>
      <c r="C930" s="23"/>
      <c r="D930" s="23"/>
      <c r="E930" s="23"/>
      <c r="F930" s="23"/>
      <c r="G930" s="23"/>
      <c r="H930" s="95"/>
      <c r="I930" s="95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</row>
    <row r="931" spans="1:36" ht="15.75" customHeight="1" x14ac:dyDescent="0.3">
      <c r="A931" s="23"/>
      <c r="B931" s="23"/>
      <c r="C931" s="23"/>
      <c r="D931" s="23"/>
      <c r="E931" s="23"/>
      <c r="F931" s="23"/>
      <c r="G931" s="23"/>
      <c r="H931" s="95"/>
      <c r="I931" s="95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</row>
    <row r="932" spans="1:36" ht="15.75" customHeight="1" x14ac:dyDescent="0.3">
      <c r="A932" s="23"/>
      <c r="B932" s="23"/>
      <c r="C932" s="23"/>
      <c r="D932" s="23"/>
      <c r="E932" s="23"/>
      <c r="F932" s="23"/>
      <c r="G932" s="23"/>
      <c r="H932" s="95"/>
      <c r="I932" s="95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</row>
    <row r="933" spans="1:36" ht="15.75" customHeight="1" x14ac:dyDescent="0.3">
      <c r="A933" s="23"/>
      <c r="B933" s="23"/>
      <c r="C933" s="23"/>
      <c r="D933" s="23"/>
      <c r="E933" s="23"/>
      <c r="F933" s="23"/>
      <c r="G933" s="23"/>
      <c r="H933" s="95"/>
      <c r="I933" s="95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</row>
    <row r="934" spans="1:36" ht="15.75" customHeight="1" x14ac:dyDescent="0.3">
      <c r="A934" s="23"/>
      <c r="B934" s="23"/>
      <c r="C934" s="23"/>
      <c r="D934" s="23"/>
      <c r="E934" s="23"/>
      <c r="F934" s="23"/>
      <c r="G934" s="23"/>
      <c r="H934" s="95"/>
      <c r="I934" s="95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</row>
    <row r="935" spans="1:36" ht="15.75" customHeight="1" x14ac:dyDescent="0.3">
      <c r="A935" s="23"/>
      <c r="B935" s="23"/>
      <c r="C935" s="23"/>
      <c r="D935" s="23"/>
      <c r="E935" s="23"/>
      <c r="F935" s="23"/>
      <c r="G935" s="23"/>
      <c r="H935" s="95"/>
      <c r="I935" s="95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</row>
    <row r="936" spans="1:36" ht="15.75" customHeight="1" x14ac:dyDescent="0.3">
      <c r="A936" s="23"/>
      <c r="B936" s="23"/>
      <c r="C936" s="23"/>
      <c r="D936" s="23"/>
      <c r="E936" s="23"/>
      <c r="F936" s="23"/>
      <c r="G936" s="23"/>
      <c r="H936" s="95"/>
      <c r="I936" s="95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</row>
    <row r="937" spans="1:36" ht="15.75" customHeight="1" x14ac:dyDescent="0.3">
      <c r="A937" s="23"/>
      <c r="B937" s="23"/>
      <c r="C937" s="23"/>
      <c r="D937" s="23"/>
      <c r="E937" s="23"/>
      <c r="F937" s="23"/>
      <c r="G937" s="23"/>
      <c r="H937" s="95"/>
      <c r="I937" s="95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</row>
    <row r="938" spans="1:36" ht="15.75" customHeight="1" x14ac:dyDescent="0.3">
      <c r="A938" s="23"/>
      <c r="B938" s="23"/>
      <c r="C938" s="23"/>
      <c r="D938" s="23"/>
      <c r="E938" s="23"/>
      <c r="F938" s="23"/>
      <c r="G938" s="23"/>
      <c r="H938" s="95"/>
      <c r="I938" s="95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 spans="1:36" ht="15.75" customHeight="1" x14ac:dyDescent="0.3">
      <c r="A939" s="23"/>
      <c r="B939" s="23"/>
      <c r="C939" s="23"/>
      <c r="D939" s="23"/>
      <c r="E939" s="23"/>
      <c r="F939" s="23"/>
      <c r="G939" s="23"/>
      <c r="H939" s="95"/>
      <c r="I939" s="95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spans="1:36" ht="15.75" customHeight="1" x14ac:dyDescent="0.3">
      <c r="A940" s="23"/>
      <c r="B940" s="23"/>
      <c r="C940" s="23"/>
      <c r="D940" s="23"/>
      <c r="E940" s="23"/>
      <c r="F940" s="23"/>
      <c r="G940" s="23"/>
      <c r="H940" s="95"/>
      <c r="I940" s="95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spans="1:36" ht="15.75" customHeight="1" x14ac:dyDescent="0.3">
      <c r="A941" s="23"/>
      <c r="B941" s="23"/>
      <c r="C941" s="23"/>
      <c r="D941" s="23"/>
      <c r="E941" s="23"/>
      <c r="F941" s="23"/>
      <c r="G941" s="23"/>
      <c r="H941" s="95"/>
      <c r="I941" s="95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spans="1:36" ht="15.75" customHeight="1" x14ac:dyDescent="0.3">
      <c r="A942" s="23"/>
      <c r="B942" s="23"/>
      <c r="C942" s="23"/>
      <c r="D942" s="23"/>
      <c r="E942" s="23"/>
      <c r="F942" s="23"/>
      <c r="G942" s="23"/>
      <c r="H942" s="95"/>
      <c r="I942" s="95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spans="1:36" ht="15.75" customHeight="1" x14ac:dyDescent="0.3">
      <c r="A943" s="23"/>
      <c r="B943" s="23"/>
      <c r="C943" s="23"/>
      <c r="D943" s="23"/>
      <c r="E943" s="23"/>
      <c r="F943" s="23"/>
      <c r="G943" s="23"/>
      <c r="H943" s="95"/>
      <c r="I943" s="95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spans="1:36" ht="15.75" customHeight="1" x14ac:dyDescent="0.3">
      <c r="A944" s="23"/>
      <c r="B944" s="23"/>
      <c r="C944" s="23"/>
      <c r="D944" s="23"/>
      <c r="E944" s="23"/>
      <c r="F944" s="23"/>
      <c r="G944" s="23"/>
      <c r="H944" s="95"/>
      <c r="I944" s="95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spans="1:36" ht="15.75" customHeight="1" x14ac:dyDescent="0.3">
      <c r="A945" s="23"/>
      <c r="B945" s="23"/>
      <c r="C945" s="23"/>
      <c r="D945" s="23"/>
      <c r="E945" s="23"/>
      <c r="F945" s="23"/>
      <c r="G945" s="23"/>
      <c r="H945" s="95"/>
      <c r="I945" s="95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spans="1:36" ht="15.75" customHeight="1" x14ac:dyDescent="0.3">
      <c r="A946" s="23"/>
      <c r="B946" s="23"/>
      <c r="C946" s="23"/>
      <c r="D946" s="23"/>
      <c r="E946" s="23"/>
      <c r="F946" s="23"/>
      <c r="G946" s="23"/>
      <c r="H946" s="95"/>
      <c r="I946" s="95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spans="1:36" ht="15.75" customHeight="1" x14ac:dyDescent="0.3">
      <c r="A947" s="23"/>
      <c r="B947" s="23"/>
      <c r="C947" s="23"/>
      <c r="D947" s="23"/>
      <c r="E947" s="23"/>
      <c r="F947" s="23"/>
      <c r="G947" s="23"/>
      <c r="H947" s="95"/>
      <c r="I947" s="95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spans="1:36" ht="15.75" customHeight="1" x14ac:dyDescent="0.3">
      <c r="A948" s="23"/>
      <c r="B948" s="23"/>
      <c r="C948" s="23"/>
      <c r="D948" s="23"/>
      <c r="E948" s="23"/>
      <c r="F948" s="23"/>
      <c r="G948" s="23"/>
      <c r="H948" s="95"/>
      <c r="I948" s="95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spans="1:36" ht="15.75" customHeight="1" x14ac:dyDescent="0.3">
      <c r="A949" s="23"/>
      <c r="B949" s="23"/>
      <c r="C949" s="23"/>
      <c r="D949" s="23"/>
      <c r="E949" s="23"/>
      <c r="F949" s="23"/>
      <c r="G949" s="23"/>
      <c r="H949" s="95"/>
      <c r="I949" s="95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spans="1:36" ht="15.75" customHeight="1" x14ac:dyDescent="0.3">
      <c r="A950" s="23"/>
      <c r="B950" s="23"/>
      <c r="C950" s="23"/>
      <c r="D950" s="23"/>
      <c r="E950" s="23"/>
      <c r="F950" s="23"/>
      <c r="G950" s="23"/>
      <c r="H950" s="95"/>
      <c r="I950" s="95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spans="1:36" ht="15.75" customHeight="1" x14ac:dyDescent="0.3">
      <c r="A951" s="23"/>
      <c r="B951" s="23"/>
      <c r="C951" s="23"/>
      <c r="D951" s="23"/>
      <c r="E951" s="23"/>
      <c r="F951" s="23"/>
      <c r="G951" s="23"/>
      <c r="H951" s="95"/>
      <c r="I951" s="95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spans="1:36" ht="15.75" customHeight="1" x14ac:dyDescent="0.3">
      <c r="A952" s="23"/>
      <c r="B952" s="23"/>
      <c r="C952" s="23"/>
      <c r="D952" s="23"/>
      <c r="E952" s="23"/>
      <c r="F952" s="23"/>
      <c r="G952" s="23"/>
      <c r="H952" s="95"/>
      <c r="I952" s="95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spans="1:36" ht="15.75" customHeight="1" x14ac:dyDescent="0.3">
      <c r="A953" s="23"/>
      <c r="B953" s="23"/>
      <c r="C953" s="23"/>
      <c r="D953" s="23"/>
      <c r="E953" s="23"/>
      <c r="F953" s="23"/>
      <c r="G953" s="23"/>
      <c r="H953" s="95"/>
      <c r="I953" s="95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spans="1:36" ht="15.75" customHeight="1" x14ac:dyDescent="0.3">
      <c r="A954" s="23"/>
      <c r="B954" s="23"/>
      <c r="C954" s="23"/>
      <c r="D954" s="23"/>
      <c r="E954" s="23"/>
      <c r="F954" s="23"/>
      <c r="G954" s="23"/>
      <c r="H954" s="95"/>
      <c r="I954" s="95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spans="1:36" ht="15.75" customHeight="1" x14ac:dyDescent="0.3">
      <c r="A955" s="23"/>
      <c r="B955" s="23"/>
      <c r="C955" s="23"/>
      <c r="D955" s="23"/>
      <c r="E955" s="23"/>
      <c r="F955" s="23"/>
      <c r="G955" s="23"/>
      <c r="H955" s="95"/>
      <c r="I955" s="95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spans="1:36" ht="15.75" customHeight="1" x14ac:dyDescent="0.3">
      <c r="A956" s="23"/>
      <c r="B956" s="23"/>
      <c r="C956" s="23"/>
      <c r="D956" s="23"/>
      <c r="E956" s="23"/>
      <c r="F956" s="23"/>
      <c r="G956" s="23"/>
      <c r="H956" s="95"/>
      <c r="I956" s="95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spans="1:36" ht="15.75" customHeight="1" x14ac:dyDescent="0.3">
      <c r="A957" s="23"/>
      <c r="B957" s="23"/>
      <c r="C957" s="23"/>
      <c r="D957" s="23"/>
      <c r="E957" s="23"/>
      <c r="F957" s="23"/>
      <c r="G957" s="23"/>
      <c r="H957" s="95"/>
      <c r="I957" s="95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spans="1:36" ht="15.75" customHeight="1" x14ac:dyDescent="0.3">
      <c r="A958" s="23"/>
      <c r="B958" s="23"/>
      <c r="C958" s="23"/>
      <c r="D958" s="23"/>
      <c r="E958" s="23"/>
      <c r="F958" s="23"/>
      <c r="G958" s="23"/>
      <c r="H958" s="95"/>
      <c r="I958" s="95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spans="1:36" ht="15.75" customHeight="1" x14ac:dyDescent="0.3">
      <c r="A959" s="23"/>
      <c r="B959" s="23"/>
      <c r="C959" s="23"/>
      <c r="D959" s="23"/>
      <c r="E959" s="23"/>
      <c r="F959" s="23"/>
      <c r="G959" s="23"/>
      <c r="H959" s="95"/>
      <c r="I959" s="95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spans="1:36" ht="15.75" customHeight="1" x14ac:dyDescent="0.3">
      <c r="A960" s="23"/>
      <c r="B960" s="23"/>
      <c r="C960" s="23"/>
      <c r="D960" s="23"/>
      <c r="E960" s="23"/>
      <c r="F960" s="23"/>
      <c r="G960" s="23"/>
      <c r="H960" s="95"/>
      <c r="I960" s="95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spans="1:36" ht="15.75" customHeight="1" x14ac:dyDescent="0.3">
      <c r="A961" s="23"/>
      <c r="B961" s="23"/>
      <c r="C961" s="23"/>
      <c r="D961" s="23"/>
      <c r="E961" s="23"/>
      <c r="F961" s="23"/>
      <c r="G961" s="23"/>
      <c r="H961" s="95"/>
      <c r="I961" s="95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spans="1:36" ht="15.75" customHeight="1" x14ac:dyDescent="0.3">
      <c r="A962" s="23"/>
      <c r="B962" s="23"/>
      <c r="C962" s="23"/>
      <c r="D962" s="23"/>
      <c r="E962" s="23"/>
      <c r="F962" s="23"/>
      <c r="G962" s="23"/>
      <c r="H962" s="95"/>
      <c r="I962" s="95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spans="1:36" ht="15.75" customHeight="1" x14ac:dyDescent="0.3">
      <c r="A963" s="23"/>
      <c r="B963" s="23"/>
      <c r="C963" s="23"/>
      <c r="D963" s="23"/>
      <c r="E963" s="23"/>
      <c r="F963" s="23"/>
      <c r="G963" s="23"/>
      <c r="H963" s="95"/>
      <c r="I963" s="95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spans="1:36" ht="15.75" customHeight="1" x14ac:dyDescent="0.3">
      <c r="A964" s="23"/>
      <c r="B964" s="23"/>
      <c r="C964" s="23"/>
      <c r="D964" s="23"/>
      <c r="E964" s="23"/>
      <c r="F964" s="23"/>
      <c r="G964" s="23"/>
      <c r="H964" s="95"/>
      <c r="I964" s="95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spans="1:36" ht="15.75" customHeight="1" x14ac:dyDescent="0.3">
      <c r="A965" s="23"/>
      <c r="B965" s="23"/>
      <c r="C965" s="23"/>
      <c r="D965" s="23"/>
      <c r="E965" s="23"/>
      <c r="F965" s="23"/>
      <c r="G965" s="23"/>
      <c r="H965" s="95"/>
      <c r="I965" s="95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spans="1:36" ht="15.75" customHeight="1" x14ac:dyDescent="0.3">
      <c r="A966" s="23"/>
      <c r="B966" s="23"/>
      <c r="C966" s="23"/>
      <c r="D966" s="23"/>
      <c r="E966" s="23"/>
      <c r="F966" s="23"/>
      <c r="G966" s="23"/>
      <c r="H966" s="95"/>
      <c r="I966" s="95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spans="1:36" ht="15.75" customHeight="1" x14ac:dyDescent="0.3">
      <c r="A967" s="23"/>
      <c r="B967" s="23"/>
      <c r="C967" s="23"/>
      <c r="D967" s="23"/>
      <c r="E967" s="23"/>
      <c r="F967" s="23"/>
      <c r="G967" s="23"/>
      <c r="H967" s="95"/>
      <c r="I967" s="95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spans="1:36" ht="15.75" customHeight="1" x14ac:dyDescent="0.3">
      <c r="A968" s="23"/>
      <c r="B968" s="23"/>
      <c r="C968" s="23"/>
      <c r="D968" s="23"/>
      <c r="E968" s="23"/>
      <c r="F968" s="23"/>
      <c r="G968" s="23"/>
      <c r="H968" s="95"/>
      <c r="I968" s="95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spans="1:36" ht="15.75" customHeight="1" x14ac:dyDescent="0.3">
      <c r="A969" s="23"/>
      <c r="B969" s="23"/>
      <c r="C969" s="23"/>
      <c r="D969" s="23"/>
      <c r="E969" s="23"/>
      <c r="F969" s="23"/>
      <c r="G969" s="23"/>
      <c r="H969" s="95"/>
      <c r="I969" s="95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spans="1:36" ht="15.75" customHeight="1" x14ac:dyDescent="0.3">
      <c r="A970" s="23"/>
      <c r="B970" s="23"/>
      <c r="C970" s="23"/>
      <c r="D970" s="23"/>
      <c r="E970" s="23"/>
      <c r="F970" s="23"/>
      <c r="G970" s="23"/>
      <c r="H970" s="95"/>
      <c r="I970" s="95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spans="1:36" ht="15.75" customHeight="1" x14ac:dyDescent="0.3">
      <c r="A971" s="23"/>
      <c r="B971" s="23"/>
      <c r="C971" s="23"/>
      <c r="D971" s="23"/>
      <c r="E971" s="23"/>
      <c r="F971" s="23"/>
      <c r="G971" s="23"/>
      <c r="H971" s="95"/>
      <c r="I971" s="95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spans="1:36" ht="15.75" customHeight="1" x14ac:dyDescent="0.3">
      <c r="A972" s="23"/>
      <c r="B972" s="23"/>
      <c r="C972" s="23"/>
      <c r="D972" s="23"/>
      <c r="E972" s="23"/>
      <c r="F972" s="23"/>
      <c r="G972" s="23"/>
      <c r="H972" s="95"/>
      <c r="I972" s="95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spans="1:36" ht="15.75" customHeight="1" x14ac:dyDescent="0.3">
      <c r="A973" s="23"/>
      <c r="B973" s="23"/>
      <c r="C973" s="23"/>
      <c r="D973" s="23"/>
      <c r="E973" s="23"/>
      <c r="F973" s="23"/>
      <c r="G973" s="23"/>
      <c r="H973" s="95"/>
      <c r="I973" s="95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spans="1:36" ht="15.75" customHeight="1" x14ac:dyDescent="0.3">
      <c r="A974" s="23"/>
      <c r="B974" s="23"/>
      <c r="C974" s="23"/>
      <c r="D974" s="23"/>
      <c r="E974" s="23"/>
      <c r="F974" s="23"/>
      <c r="G974" s="23"/>
      <c r="H974" s="95"/>
      <c r="I974" s="95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spans="1:36" ht="15.75" customHeight="1" x14ac:dyDescent="0.3">
      <c r="A975" s="23"/>
      <c r="B975" s="23"/>
      <c r="C975" s="23"/>
      <c r="D975" s="23"/>
      <c r="E975" s="23"/>
      <c r="F975" s="23"/>
      <c r="G975" s="23"/>
      <c r="H975" s="95"/>
      <c r="I975" s="95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spans="1:36" ht="15.75" customHeight="1" x14ac:dyDescent="0.3">
      <c r="A976" s="23"/>
      <c r="B976" s="23"/>
      <c r="C976" s="23"/>
      <c r="D976" s="23"/>
      <c r="E976" s="23"/>
      <c r="F976" s="23"/>
      <c r="G976" s="23"/>
      <c r="H976" s="95"/>
      <c r="I976" s="95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spans="1:36" ht="15.75" customHeight="1" x14ac:dyDescent="0.3">
      <c r="A977" s="23"/>
      <c r="B977" s="23"/>
      <c r="C977" s="23"/>
      <c r="D977" s="23"/>
      <c r="E977" s="23"/>
      <c r="F977" s="23"/>
      <c r="G977" s="23"/>
      <c r="H977" s="95"/>
      <c r="I977" s="95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spans="1:36" ht="15.75" customHeight="1" x14ac:dyDescent="0.3">
      <c r="A978" s="23"/>
      <c r="B978" s="23"/>
      <c r="C978" s="23"/>
      <c r="D978" s="23"/>
      <c r="E978" s="23"/>
      <c r="F978" s="23"/>
      <c r="G978" s="23"/>
      <c r="H978" s="95"/>
      <c r="I978" s="95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spans="1:36" ht="15.75" customHeight="1" x14ac:dyDescent="0.3">
      <c r="A979" s="23"/>
      <c r="B979" s="23"/>
      <c r="C979" s="23"/>
      <c r="D979" s="23"/>
      <c r="E979" s="23"/>
      <c r="F979" s="23"/>
      <c r="G979" s="23"/>
      <c r="H979" s="95"/>
      <c r="I979" s="95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spans="1:36" ht="15.75" customHeight="1" x14ac:dyDescent="0.3">
      <c r="A980" s="23"/>
      <c r="B980" s="23"/>
      <c r="C980" s="23"/>
      <c r="D980" s="23"/>
      <c r="E980" s="23"/>
      <c r="F980" s="23"/>
      <c r="G980" s="23"/>
      <c r="H980" s="95"/>
      <c r="I980" s="95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 spans="1:36" ht="15.75" customHeight="1" x14ac:dyDescent="0.3">
      <c r="A981" s="23"/>
      <c r="B981" s="23"/>
      <c r="C981" s="23"/>
      <c r="D981" s="23"/>
      <c r="E981" s="23"/>
      <c r="F981" s="23"/>
      <c r="G981" s="23"/>
      <c r="H981" s="95"/>
      <c r="I981" s="95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  <row r="982" spans="1:36" ht="15.75" customHeight="1" x14ac:dyDescent="0.3">
      <c r="A982" s="23"/>
      <c r="B982" s="23"/>
      <c r="C982" s="23"/>
      <c r="D982" s="23"/>
      <c r="E982" s="23"/>
      <c r="F982" s="23"/>
      <c r="G982" s="23"/>
      <c r="H982" s="95"/>
      <c r="I982" s="95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</row>
    <row r="983" spans="1:36" ht="15.75" customHeight="1" x14ac:dyDescent="0.3">
      <c r="A983" s="23"/>
      <c r="B983" s="23"/>
      <c r="C983" s="23"/>
      <c r="D983" s="23"/>
      <c r="E983" s="23"/>
      <c r="F983" s="23"/>
      <c r="G983" s="23"/>
      <c r="H983" s="95"/>
      <c r="I983" s="95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</row>
    <row r="984" spans="1:36" ht="15.75" customHeight="1" x14ac:dyDescent="0.3">
      <c r="A984" s="23"/>
      <c r="B984" s="23"/>
      <c r="C984" s="23"/>
      <c r="D984" s="23"/>
      <c r="E984" s="23"/>
      <c r="F984" s="23"/>
      <c r="G984" s="23"/>
      <c r="H984" s="95"/>
      <c r="I984" s="95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</row>
    <row r="985" spans="1:36" ht="15.75" customHeight="1" x14ac:dyDescent="0.3">
      <c r="A985" s="23"/>
      <c r="B985" s="23"/>
      <c r="C985" s="23"/>
      <c r="D985" s="23"/>
      <c r="E985" s="23"/>
      <c r="F985" s="23"/>
      <c r="G985" s="23"/>
      <c r="H985" s="95"/>
      <c r="I985" s="95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</row>
    <row r="986" spans="1:36" ht="15.75" customHeight="1" x14ac:dyDescent="0.3">
      <c r="A986" s="23"/>
      <c r="B986" s="23"/>
      <c r="C986" s="23"/>
      <c r="D986" s="23"/>
      <c r="E986" s="23"/>
      <c r="F986" s="23"/>
      <c r="G986" s="23"/>
      <c r="H986" s="95"/>
      <c r="I986" s="95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</row>
    <row r="987" spans="1:36" ht="15.75" customHeight="1" x14ac:dyDescent="0.3">
      <c r="A987" s="23"/>
      <c r="B987" s="23"/>
      <c r="C987" s="23"/>
      <c r="D987" s="23"/>
      <c r="E987" s="23"/>
      <c r="F987" s="23"/>
      <c r="G987" s="23"/>
      <c r="H987" s="95"/>
      <c r="I987" s="95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</row>
    <row r="988" spans="1:36" ht="15.75" customHeight="1" x14ac:dyDescent="0.3">
      <c r="A988" s="23"/>
      <c r="B988" s="23"/>
      <c r="C988" s="23"/>
      <c r="D988" s="23"/>
      <c r="E988" s="23"/>
      <c r="F988" s="23"/>
      <c r="G988" s="23"/>
      <c r="H988" s="95"/>
      <c r="I988" s="95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</row>
    <row r="989" spans="1:36" ht="15.75" customHeight="1" x14ac:dyDescent="0.3">
      <c r="A989" s="23"/>
      <c r="B989" s="23"/>
      <c r="C989" s="23"/>
      <c r="D989" s="23"/>
      <c r="E989" s="23"/>
      <c r="F989" s="23"/>
      <c r="G989" s="23"/>
      <c r="H989" s="95"/>
      <c r="I989" s="95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</row>
    <row r="990" spans="1:36" ht="15.75" customHeight="1" x14ac:dyDescent="0.3">
      <c r="A990" s="23"/>
      <c r="B990" s="23"/>
      <c r="C990" s="23"/>
      <c r="D990" s="23"/>
      <c r="E990" s="23"/>
      <c r="F990" s="23"/>
      <c r="G990" s="23"/>
      <c r="H990" s="95"/>
      <c r="I990" s="95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</row>
    <row r="991" spans="1:36" ht="15.75" customHeight="1" x14ac:dyDescent="0.3">
      <c r="A991" s="23"/>
      <c r="B991" s="23"/>
      <c r="C991" s="23"/>
      <c r="D991" s="23"/>
      <c r="E991" s="23"/>
      <c r="F991" s="23"/>
      <c r="G991" s="23"/>
      <c r="H991" s="95"/>
      <c r="I991" s="95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</row>
    <row r="992" spans="1:36" ht="15.75" customHeight="1" x14ac:dyDescent="0.3">
      <c r="A992" s="23"/>
      <c r="B992" s="23"/>
      <c r="C992" s="23"/>
      <c r="D992" s="23"/>
      <c r="E992" s="23"/>
      <c r="F992" s="23"/>
      <c r="G992" s="23"/>
      <c r="H992" s="95"/>
      <c r="I992" s="95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</row>
    <row r="993" spans="1:36" ht="15.75" customHeight="1" x14ac:dyDescent="0.3">
      <c r="A993" s="23"/>
      <c r="B993" s="23"/>
      <c r="C993" s="23"/>
      <c r="D993" s="23"/>
      <c r="E993" s="23"/>
      <c r="F993" s="23"/>
      <c r="G993" s="23"/>
      <c r="H993" s="95"/>
      <c r="I993" s="95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</row>
    <row r="994" spans="1:36" ht="15.75" customHeight="1" x14ac:dyDescent="0.3">
      <c r="A994" s="23"/>
      <c r="B994" s="23"/>
      <c r="C994" s="23"/>
      <c r="D994" s="23"/>
      <c r="E994" s="23"/>
      <c r="F994" s="23"/>
      <c r="G994" s="23"/>
      <c r="H994" s="95"/>
      <c r="I994" s="95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</row>
    <row r="995" spans="1:36" ht="15.75" customHeight="1" x14ac:dyDescent="0.3">
      <c r="A995" s="23"/>
      <c r="B995" s="23"/>
      <c r="C995" s="23"/>
      <c r="D995" s="23"/>
      <c r="E995" s="23"/>
      <c r="F995" s="23"/>
      <c r="G995" s="23"/>
      <c r="H995" s="95"/>
      <c r="I995" s="95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</row>
    <row r="996" spans="1:36" ht="15.75" customHeight="1" x14ac:dyDescent="0.3">
      <c r="A996" s="23"/>
      <c r="B996" s="23"/>
      <c r="C996" s="23"/>
      <c r="D996" s="23"/>
      <c r="E996" s="23"/>
      <c r="F996" s="23"/>
      <c r="G996" s="23"/>
      <c r="H996" s="95"/>
      <c r="I996" s="95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</row>
    <row r="997" spans="1:36" ht="15.75" customHeight="1" x14ac:dyDescent="0.3">
      <c r="A997" s="23"/>
      <c r="B997" s="23"/>
      <c r="C997" s="23"/>
      <c r="D997" s="23"/>
      <c r="E997" s="23"/>
      <c r="F997" s="23"/>
      <c r="G997" s="23"/>
      <c r="H997" s="95"/>
      <c r="I997" s="95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</row>
    <row r="998" spans="1:36" ht="15.75" customHeight="1" x14ac:dyDescent="0.3">
      <c r="A998" s="23"/>
      <c r="B998" s="23"/>
      <c r="C998" s="23"/>
      <c r="D998" s="23"/>
      <c r="E998" s="23"/>
      <c r="F998" s="23"/>
      <c r="G998" s="23"/>
      <c r="H998" s="95"/>
      <c r="I998" s="95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</row>
    <row r="999" spans="1:36" ht="15.75" customHeight="1" x14ac:dyDescent="0.3">
      <c r="A999" s="23"/>
      <c r="B999" s="23"/>
      <c r="C999" s="23"/>
      <c r="D999" s="23"/>
      <c r="E999" s="23"/>
      <c r="F999" s="23"/>
      <c r="G999" s="23"/>
      <c r="H999" s="95"/>
      <c r="I999" s="95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</row>
    <row r="1000" spans="1:36" ht="15.75" customHeight="1" x14ac:dyDescent="0.3">
      <c r="A1000" s="23"/>
      <c r="B1000" s="23"/>
      <c r="C1000" s="23"/>
      <c r="D1000" s="23"/>
      <c r="E1000" s="23"/>
      <c r="F1000" s="23"/>
      <c r="G1000" s="23"/>
      <c r="H1000" s="95"/>
      <c r="I1000" s="95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</row>
    <row r="1001" spans="1:36" ht="15.75" customHeight="1" x14ac:dyDescent="0.3">
      <c r="A1001" s="23"/>
      <c r="B1001" s="23"/>
      <c r="C1001" s="23"/>
      <c r="D1001" s="23"/>
      <c r="E1001" s="23"/>
      <c r="F1001" s="23"/>
      <c r="G1001" s="23"/>
      <c r="H1001" s="95"/>
      <c r="I1001" s="95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</row>
    <row r="1002" spans="1:36" ht="15.75" customHeight="1" x14ac:dyDescent="0.3">
      <c r="A1002" s="23"/>
      <c r="B1002" s="23"/>
      <c r="C1002" s="23"/>
      <c r="D1002" s="23"/>
      <c r="E1002" s="23"/>
      <c r="F1002" s="23"/>
      <c r="G1002" s="23"/>
      <c r="H1002" s="95"/>
      <c r="I1002" s="95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</row>
    <row r="1003" spans="1:36" ht="15.75" customHeight="1" x14ac:dyDescent="0.3">
      <c r="A1003" s="23"/>
      <c r="B1003" s="23"/>
      <c r="C1003" s="23"/>
      <c r="D1003" s="23"/>
      <c r="E1003" s="23"/>
      <c r="F1003" s="23"/>
      <c r="G1003" s="23"/>
      <c r="H1003" s="95"/>
      <c r="I1003" s="95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</row>
    <row r="1004" spans="1:36" ht="15.75" customHeight="1" x14ac:dyDescent="0.3">
      <c r="A1004" s="23"/>
      <c r="B1004" s="23"/>
      <c r="C1004" s="23"/>
      <c r="D1004" s="23"/>
      <c r="E1004" s="23"/>
      <c r="F1004" s="23"/>
      <c r="G1004" s="23"/>
      <c r="H1004" s="95"/>
      <c r="I1004" s="95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</row>
    <row r="1005" spans="1:36" ht="15.75" customHeight="1" x14ac:dyDescent="0.3">
      <c r="A1005" s="23"/>
      <c r="B1005" s="23"/>
      <c r="C1005" s="23"/>
      <c r="D1005" s="23"/>
      <c r="E1005" s="23"/>
      <c r="F1005" s="23"/>
      <c r="G1005" s="23"/>
      <c r="H1005" s="95"/>
      <c r="I1005" s="95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</row>
    <row r="1006" spans="1:36" ht="15.75" customHeight="1" x14ac:dyDescent="0.3">
      <c r="A1006" s="23"/>
      <c r="B1006" s="23"/>
      <c r="C1006" s="23"/>
      <c r="D1006" s="23"/>
      <c r="E1006" s="23"/>
      <c r="F1006" s="23"/>
      <c r="G1006" s="23"/>
      <c r="H1006" s="95"/>
      <c r="I1006" s="95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</row>
    <row r="1007" spans="1:36" ht="15.75" customHeight="1" x14ac:dyDescent="0.3">
      <c r="A1007" s="23"/>
      <c r="B1007" s="23"/>
      <c r="C1007" s="23"/>
      <c r="D1007" s="23"/>
      <c r="E1007" s="23"/>
      <c r="F1007" s="23"/>
      <c r="G1007" s="23"/>
      <c r="H1007" s="95"/>
      <c r="I1007" s="95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</row>
    <row r="1008" spans="1:36" ht="15.75" customHeight="1" x14ac:dyDescent="0.3">
      <c r="A1008" s="23"/>
      <c r="B1008" s="23"/>
      <c r="C1008" s="23"/>
      <c r="D1008" s="23"/>
      <c r="E1008" s="23"/>
      <c r="F1008" s="23"/>
      <c r="G1008" s="23"/>
      <c r="H1008" s="95"/>
      <c r="I1008" s="95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</row>
    <row r="1009" spans="1:36" ht="15.75" customHeight="1" x14ac:dyDescent="0.3">
      <c r="A1009" s="23"/>
      <c r="B1009" s="23"/>
      <c r="C1009" s="23"/>
      <c r="D1009" s="23"/>
      <c r="E1009" s="23"/>
      <c r="F1009" s="23"/>
      <c r="G1009" s="23"/>
      <c r="H1009" s="95"/>
      <c r="I1009" s="95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</row>
  </sheetData>
  <mergeCells count="31">
    <mergeCell ref="Q16:Q22"/>
    <mergeCell ref="Z16:Z21"/>
    <mergeCell ref="AE20:AI20"/>
    <mergeCell ref="D2:E2"/>
    <mergeCell ref="B3:B4"/>
    <mergeCell ref="D3:E3"/>
    <mergeCell ref="L3:L4"/>
    <mergeCell ref="D4:E4"/>
    <mergeCell ref="B5:B10"/>
    <mergeCell ref="D5:G5"/>
    <mergeCell ref="D10:E10"/>
    <mergeCell ref="D8:E8"/>
    <mergeCell ref="D9:E9"/>
    <mergeCell ref="H14:I14"/>
    <mergeCell ref="Q13:R13"/>
    <mergeCell ref="Q14:R14"/>
    <mergeCell ref="Z31:Z36"/>
    <mergeCell ref="Z46:Z50"/>
    <mergeCell ref="Z61:Z65"/>
    <mergeCell ref="Z76:Z80"/>
    <mergeCell ref="Q46:Q52"/>
    <mergeCell ref="Q61:Q67"/>
    <mergeCell ref="Q76:Q82"/>
    <mergeCell ref="Q31:Q37"/>
    <mergeCell ref="H61:H70"/>
    <mergeCell ref="H76:H85"/>
    <mergeCell ref="D6:E6"/>
    <mergeCell ref="D7:E7"/>
    <mergeCell ref="H16:H25"/>
    <mergeCell ref="H31:H40"/>
    <mergeCell ref="H46:H55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9"/>
  <sheetViews>
    <sheetView topLeftCell="R64" zoomScale="70" zoomScaleNormal="70" workbookViewId="0">
      <selection activeCell="AA76" sqref="AA76:AA81"/>
    </sheetView>
  </sheetViews>
  <sheetFormatPr defaultColWidth="14.44140625" defaultRowHeight="15" customHeight="1" x14ac:dyDescent="0.3"/>
  <cols>
    <col min="1" max="1" width="5.109375" customWidth="1"/>
    <col min="2" max="2" width="17" customWidth="1"/>
    <col min="3" max="3" width="36" customWidth="1"/>
    <col min="4" max="4" width="14.6640625" customWidth="1"/>
    <col min="5" max="5" width="9.88671875" customWidth="1"/>
    <col min="6" max="6" width="8.6640625" customWidth="1"/>
    <col min="7" max="7" width="11.44140625" customWidth="1"/>
    <col min="8" max="8" width="16" customWidth="1"/>
    <col min="9" max="9" width="17" customWidth="1"/>
    <col min="10" max="11" width="8.6640625" customWidth="1"/>
    <col min="12" max="12" width="39" customWidth="1"/>
    <col min="13" max="13" width="13.88671875" customWidth="1"/>
    <col min="14" max="14" width="15.33203125" customWidth="1"/>
    <col min="15" max="15" width="13.44140625" customWidth="1"/>
    <col min="16" max="16" width="11.88671875" customWidth="1"/>
    <col min="17" max="17" width="15.44140625" customWidth="1"/>
    <col min="18" max="18" width="17" customWidth="1"/>
    <col min="19" max="20" width="8.6640625" customWidth="1"/>
    <col min="21" max="21" width="46.6640625" customWidth="1"/>
    <col min="22" max="22" width="16.33203125" customWidth="1"/>
    <col min="23" max="23" width="12.6640625" customWidth="1"/>
    <col min="24" max="24" width="8.6640625" customWidth="1"/>
    <col min="25" max="25" width="14.6640625" customWidth="1"/>
    <col min="26" max="26" width="18.109375" customWidth="1"/>
    <col min="27" max="27" width="16.6640625" customWidth="1"/>
    <col min="28" max="29" width="8.6640625" customWidth="1"/>
    <col min="30" max="31" width="14.33203125" customWidth="1"/>
    <col min="32" max="32" width="13.109375" customWidth="1"/>
    <col min="33" max="33" width="14.33203125" customWidth="1"/>
    <col min="34" max="34" width="13.6640625" customWidth="1"/>
    <col min="35" max="35" width="14.33203125" customWidth="1"/>
    <col min="36" max="36" width="14.109375" customWidth="1"/>
    <col min="37" max="37" width="13.109375" customWidth="1"/>
  </cols>
  <sheetData>
    <row r="1" spans="1:37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96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5" customHeight="1" x14ac:dyDescent="0.35">
      <c r="A2" s="23"/>
      <c r="B2" s="24" t="s">
        <v>344</v>
      </c>
      <c r="C2" s="23"/>
      <c r="D2" s="189" t="s">
        <v>102</v>
      </c>
      <c r="E2" s="176"/>
      <c r="F2" s="25" t="s">
        <v>103</v>
      </c>
      <c r="G2" s="25" t="s">
        <v>104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96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 x14ac:dyDescent="0.3">
      <c r="A3" s="23"/>
      <c r="B3" s="190" t="s">
        <v>105</v>
      </c>
      <c r="C3" s="26" t="s">
        <v>15</v>
      </c>
      <c r="D3" s="191">
        <v>2.5</v>
      </c>
      <c r="E3" s="176"/>
      <c r="F3" s="23">
        <v>3.3</v>
      </c>
      <c r="G3" s="23">
        <v>2.5</v>
      </c>
      <c r="H3" s="23" t="s">
        <v>106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96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spans="1:37" ht="15" customHeight="1" x14ac:dyDescent="0.3">
      <c r="A4" s="23"/>
      <c r="B4" s="176"/>
      <c r="C4" s="26" t="s">
        <v>29</v>
      </c>
      <c r="D4" s="191">
        <v>3</v>
      </c>
      <c r="E4" s="176"/>
      <c r="F4" s="23"/>
      <c r="G4" s="23"/>
      <c r="H4" s="23" t="s">
        <v>106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96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1:37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96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ht="15" customHeight="1" x14ac:dyDescent="0.3">
      <c r="A6" s="23"/>
      <c r="B6" s="176"/>
      <c r="C6" s="30" t="s">
        <v>111</v>
      </c>
      <c r="D6" s="191">
        <f>36+14</f>
        <v>50</v>
      </c>
      <c r="E6" s="176"/>
      <c r="F6" s="23">
        <v>17</v>
      </c>
      <c r="G6" s="23">
        <v>11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96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ht="15" customHeight="1" x14ac:dyDescent="0.3">
      <c r="A7" s="23"/>
      <c r="B7" s="176"/>
      <c r="C7" s="30" t="s">
        <v>112</v>
      </c>
      <c r="D7" s="191">
        <f>142+69</f>
        <v>211</v>
      </c>
      <c r="E7" s="176"/>
      <c r="F7" s="23">
        <v>77</v>
      </c>
      <c r="G7" s="23">
        <v>64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96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ht="15" customHeight="1" x14ac:dyDescent="0.3">
      <c r="A8" s="23"/>
      <c r="B8" s="176"/>
      <c r="C8" s="30" t="s">
        <v>113</v>
      </c>
      <c r="D8" s="191">
        <f>202+142</f>
        <v>344</v>
      </c>
      <c r="E8" s="176"/>
      <c r="F8" s="23">
        <v>87</v>
      </c>
      <c r="G8" s="23">
        <v>56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96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ht="15" customHeight="1" x14ac:dyDescent="0.3">
      <c r="A9" s="23"/>
      <c r="B9" s="176"/>
      <c r="C9" s="30" t="s">
        <v>114</v>
      </c>
      <c r="D9" s="191">
        <f>111+82</f>
        <v>193</v>
      </c>
      <c r="E9" s="176"/>
      <c r="F9" s="23">
        <v>84</v>
      </c>
      <c r="G9" s="23">
        <v>33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96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ht="15" customHeight="1" x14ac:dyDescent="0.3">
      <c r="A10" s="23"/>
      <c r="B10" s="176"/>
      <c r="C10" s="30" t="s">
        <v>115</v>
      </c>
      <c r="D10" s="191">
        <f>113+66</f>
        <v>179</v>
      </c>
      <c r="E10" s="176"/>
      <c r="F10" s="23">
        <v>31</v>
      </c>
      <c r="G10" s="23">
        <v>31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96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ht="15" customHeight="1" x14ac:dyDescent="0.3">
      <c r="A11" s="23"/>
      <c r="B11" s="31"/>
      <c r="C11" s="30" t="s">
        <v>116</v>
      </c>
      <c r="D11" s="23">
        <v>365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96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96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ht="14.4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96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ht="18" x14ac:dyDescent="0.35">
      <c r="A14" s="23"/>
      <c r="B14" s="23"/>
      <c r="C14" s="32" t="s">
        <v>345</v>
      </c>
      <c r="D14" s="69"/>
      <c r="E14" s="69"/>
      <c r="F14" s="69"/>
      <c r="G14" s="69"/>
      <c r="H14" s="184" t="s">
        <v>281</v>
      </c>
      <c r="I14" s="185"/>
      <c r="J14" s="23"/>
      <c r="K14" s="23"/>
      <c r="L14" s="32" t="s">
        <v>345</v>
      </c>
      <c r="M14" s="33"/>
      <c r="N14" s="33"/>
      <c r="O14" s="33"/>
      <c r="P14" s="33"/>
      <c r="Q14" s="33"/>
      <c r="R14" s="33"/>
      <c r="S14" s="23"/>
      <c r="T14" s="23"/>
      <c r="U14" s="97" t="s">
        <v>345</v>
      </c>
      <c r="V14" s="33"/>
      <c r="W14" s="33"/>
      <c r="X14" s="33"/>
      <c r="Y14" s="33"/>
      <c r="Z14" s="33"/>
      <c r="AA14" s="33"/>
      <c r="AB14" s="23"/>
      <c r="AC14" s="23"/>
      <c r="AD14" s="26" t="s">
        <v>346</v>
      </c>
      <c r="AE14" s="26"/>
      <c r="AF14" s="23"/>
      <c r="AG14" s="23"/>
      <c r="AH14" s="23"/>
      <c r="AI14" s="23"/>
      <c r="AJ14" s="23"/>
      <c r="AK14" s="23"/>
    </row>
    <row r="15" spans="1:37" ht="67.5" customHeight="1" x14ac:dyDescent="0.4">
      <c r="A15" s="23"/>
      <c r="B15" s="23"/>
      <c r="C15" s="37" t="s">
        <v>176</v>
      </c>
      <c r="D15" s="38" t="s">
        <v>122</v>
      </c>
      <c r="E15" s="38" t="s">
        <v>129</v>
      </c>
      <c r="F15" s="38" t="s">
        <v>130</v>
      </c>
      <c r="G15" s="38" t="s">
        <v>131</v>
      </c>
      <c r="H15" s="39" t="s">
        <v>126</v>
      </c>
      <c r="I15" s="40" t="s">
        <v>127</v>
      </c>
      <c r="J15" s="23"/>
      <c r="K15" s="23"/>
      <c r="L15" s="72" t="s">
        <v>177</v>
      </c>
      <c r="M15" s="38" t="s">
        <v>122</v>
      </c>
      <c r="N15" s="38" t="s">
        <v>129</v>
      </c>
      <c r="O15" s="38" t="s">
        <v>130</v>
      </c>
      <c r="P15" s="38" t="s">
        <v>131</v>
      </c>
      <c r="Q15" s="41" t="s">
        <v>126</v>
      </c>
      <c r="R15" s="42" t="s">
        <v>127</v>
      </c>
      <c r="S15" s="23"/>
      <c r="T15" s="23"/>
      <c r="U15" s="98" t="s">
        <v>178</v>
      </c>
      <c r="V15" s="38" t="s">
        <v>122</v>
      </c>
      <c r="W15" s="38" t="s">
        <v>129</v>
      </c>
      <c r="X15" s="38" t="s">
        <v>130</v>
      </c>
      <c r="Y15" s="38" t="s">
        <v>131</v>
      </c>
      <c r="Z15" s="41" t="s">
        <v>126</v>
      </c>
      <c r="AA15" s="42" t="s">
        <v>127</v>
      </c>
      <c r="AB15" s="23"/>
      <c r="AC15" s="23"/>
      <c r="AD15" s="44"/>
      <c r="AE15" s="88"/>
      <c r="AF15" s="99" t="s">
        <v>179</v>
      </c>
      <c r="AG15" s="100" t="s">
        <v>180</v>
      </c>
      <c r="AH15" s="100" t="s">
        <v>113</v>
      </c>
      <c r="AI15" s="100" t="s">
        <v>114</v>
      </c>
      <c r="AJ15" s="100" t="s">
        <v>115</v>
      </c>
      <c r="AK15" s="29" t="s">
        <v>213</v>
      </c>
    </row>
    <row r="16" spans="1:37" ht="17.399999999999999" x14ac:dyDescent="0.35">
      <c r="A16" s="23"/>
      <c r="B16" s="23"/>
      <c r="C16" s="44" t="s">
        <v>133</v>
      </c>
      <c r="D16" s="45">
        <v>0</v>
      </c>
      <c r="E16" s="45">
        <v>0</v>
      </c>
      <c r="F16" s="46" t="s">
        <v>134</v>
      </c>
      <c r="G16" s="47">
        <v>0</v>
      </c>
      <c r="H16" s="194">
        <f>D6*D3*'Vehicle Infos'!K10</f>
        <v>397.5</v>
      </c>
      <c r="I16" s="44">
        <f>$D$6*E16*'Vehicle Infos'!$L$10</f>
        <v>0</v>
      </c>
      <c r="J16" s="23"/>
      <c r="K16" s="23"/>
      <c r="L16" s="44" t="s">
        <v>135</v>
      </c>
      <c r="M16" s="48">
        <v>0</v>
      </c>
      <c r="N16" s="47">
        <v>0</v>
      </c>
      <c r="O16" s="46" t="s">
        <v>134</v>
      </c>
      <c r="P16" s="47">
        <v>0</v>
      </c>
      <c r="Q16" s="182">
        <f>F6*F3*'Vehicle Infos'!K21</f>
        <v>177.80894999999998</v>
      </c>
      <c r="R16" s="49">
        <f>$F$6*N16*'Vehicle Infos'!$L$21</f>
        <v>0</v>
      </c>
      <c r="S16" s="23"/>
      <c r="T16" s="23"/>
      <c r="U16" s="101" t="s">
        <v>136</v>
      </c>
      <c r="V16" s="48">
        <v>0</v>
      </c>
      <c r="W16" s="47">
        <v>0</v>
      </c>
      <c r="X16" s="46" t="s">
        <v>134</v>
      </c>
      <c r="Y16" s="47">
        <v>0</v>
      </c>
      <c r="Z16" s="182">
        <f>G6*G3*'Vehicle Infos'!K29</f>
        <v>87.11999999999999</v>
      </c>
      <c r="AA16" s="49">
        <f>$G$6*W16*'Vehicle Infos'!$L$29</f>
        <v>0</v>
      </c>
      <c r="AB16" s="23"/>
      <c r="AC16" s="23"/>
      <c r="AD16" s="44" t="s">
        <v>192</v>
      </c>
      <c r="AE16" s="44" t="s">
        <v>102</v>
      </c>
      <c r="AF16" s="89">
        <f>SUM(H16:H25)*D11</f>
        <v>145087.5</v>
      </c>
      <c r="AG16" s="81">
        <f>SUM(H31:H40)*D11</f>
        <v>612269.25</v>
      </c>
      <c r="AH16" s="81">
        <f>SUM(H46:H55)*D11</f>
        <v>998202.00000000012</v>
      </c>
      <c r="AI16" s="81">
        <f>SUM(H61:H70)*D11</f>
        <v>560037.75</v>
      </c>
      <c r="AJ16" s="81">
        <f>SUM(H76:H85)*D11</f>
        <v>519413.25000000006</v>
      </c>
      <c r="AK16" s="81">
        <f>SUM(AF16:AJ16)</f>
        <v>2835009.75</v>
      </c>
    </row>
    <row r="17" spans="1:37" ht="17.399999999999999" x14ac:dyDescent="0.35">
      <c r="A17" s="23"/>
      <c r="B17" s="23"/>
      <c r="C17" s="44" t="s">
        <v>137</v>
      </c>
      <c r="D17" s="45">
        <v>7.5</v>
      </c>
      <c r="E17" s="45">
        <v>7.5</v>
      </c>
      <c r="F17" s="46" t="s">
        <v>138</v>
      </c>
      <c r="G17" s="47">
        <v>7</v>
      </c>
      <c r="H17" s="181"/>
      <c r="I17" s="44">
        <f>$D$6*E17*'Vehicle Infos'!$L$10</f>
        <v>96.566500000000005</v>
      </c>
      <c r="J17" s="23"/>
      <c r="K17" s="23"/>
      <c r="L17" s="44" t="s">
        <v>139</v>
      </c>
      <c r="M17" s="48">
        <v>1</v>
      </c>
      <c r="N17" s="47">
        <v>1</v>
      </c>
      <c r="O17" s="46" t="s">
        <v>140</v>
      </c>
      <c r="P17" s="47">
        <v>2</v>
      </c>
      <c r="Q17" s="181"/>
      <c r="R17" s="49">
        <f>$F$6*N17*'Vehicle Infos'!$L$21</f>
        <v>3.0908865714285709</v>
      </c>
      <c r="S17" s="23"/>
      <c r="T17" s="23"/>
      <c r="U17" s="101" t="s">
        <v>141</v>
      </c>
      <c r="V17" s="48">
        <v>3</v>
      </c>
      <c r="W17" s="51">
        <v>3</v>
      </c>
      <c r="X17" s="46" t="s">
        <v>142</v>
      </c>
      <c r="Y17" s="47">
        <v>5</v>
      </c>
      <c r="Z17" s="181"/>
      <c r="AA17" s="49">
        <f>$G$6*W17*'Vehicle Infos'!$L$29</f>
        <v>5.5139755000000008</v>
      </c>
      <c r="AB17" s="23"/>
      <c r="AC17" s="23"/>
      <c r="AD17" s="23"/>
      <c r="AE17" s="23" t="s">
        <v>103</v>
      </c>
      <c r="AF17" s="23"/>
      <c r="AG17" s="23"/>
      <c r="AH17" s="23"/>
      <c r="AI17" s="23"/>
      <c r="AJ17" s="23"/>
      <c r="AK17" s="23"/>
    </row>
    <row r="18" spans="1:37" ht="17.399999999999999" x14ac:dyDescent="0.35">
      <c r="A18" s="23"/>
      <c r="B18" s="23"/>
      <c r="C18" s="44" t="s">
        <v>143</v>
      </c>
      <c r="D18" s="45">
        <v>8</v>
      </c>
      <c r="E18" s="45">
        <v>0.5</v>
      </c>
      <c r="F18" s="46" t="s">
        <v>144</v>
      </c>
      <c r="G18" s="47">
        <v>3</v>
      </c>
      <c r="H18" s="181"/>
      <c r="I18" s="44">
        <f>$D$6*E18*'Vehicle Infos'!$L$10</f>
        <v>6.4377666666666666</v>
      </c>
      <c r="J18" s="23"/>
      <c r="K18" s="23"/>
      <c r="L18" s="44" t="s">
        <v>145</v>
      </c>
      <c r="M18" s="48">
        <v>2.5</v>
      </c>
      <c r="N18" s="51">
        <v>1.5</v>
      </c>
      <c r="O18" s="46" t="s">
        <v>138</v>
      </c>
      <c r="P18" s="47">
        <v>5</v>
      </c>
      <c r="Q18" s="181"/>
      <c r="R18" s="49">
        <f>$F$6*N18*'Vehicle Infos'!$L$21</f>
        <v>4.6363298571428562</v>
      </c>
      <c r="S18" s="23"/>
      <c r="T18" s="23"/>
      <c r="U18" s="101" t="s">
        <v>146</v>
      </c>
      <c r="V18" s="48">
        <v>5.5</v>
      </c>
      <c r="W18" s="51">
        <v>2.5</v>
      </c>
      <c r="X18" s="46" t="s">
        <v>347</v>
      </c>
      <c r="Y18" s="47">
        <v>6</v>
      </c>
      <c r="Z18" s="181"/>
      <c r="AA18" s="49">
        <f>$G$6*W18*'Vehicle Infos'!$L$29</f>
        <v>4.594979583333334</v>
      </c>
      <c r="AB18" s="23"/>
      <c r="AC18" s="23"/>
      <c r="AD18" s="23"/>
      <c r="AE18" s="23" t="s">
        <v>104</v>
      </c>
      <c r="AF18" s="23"/>
      <c r="AG18" s="23"/>
      <c r="AH18" s="23"/>
      <c r="AI18" s="23"/>
      <c r="AJ18" s="23"/>
      <c r="AK18" s="23"/>
    </row>
    <row r="19" spans="1:37" ht="17.399999999999999" x14ac:dyDescent="0.35">
      <c r="A19" s="23"/>
      <c r="B19" s="23"/>
      <c r="C19" s="44" t="s">
        <v>148</v>
      </c>
      <c r="D19" s="45">
        <v>9</v>
      </c>
      <c r="E19" s="45">
        <v>1</v>
      </c>
      <c r="F19" s="46" t="s">
        <v>149</v>
      </c>
      <c r="G19" s="47">
        <v>4</v>
      </c>
      <c r="H19" s="181"/>
      <c r="I19" s="44">
        <f>$D$6*E19*'Vehicle Infos'!$L$10</f>
        <v>12.875533333333333</v>
      </c>
      <c r="J19" s="23"/>
      <c r="K19" s="23"/>
      <c r="L19" s="44" t="s">
        <v>150</v>
      </c>
      <c r="M19" s="48">
        <v>9</v>
      </c>
      <c r="N19" s="51">
        <v>6.5</v>
      </c>
      <c r="O19" s="46" t="s">
        <v>348</v>
      </c>
      <c r="P19" s="47">
        <v>9</v>
      </c>
      <c r="Q19" s="181"/>
      <c r="R19" s="49">
        <f>$F$6*N19*'Vehicle Infos'!$L$21</f>
        <v>20.090762714285709</v>
      </c>
      <c r="S19" s="23"/>
      <c r="T19" s="23"/>
      <c r="U19" s="101" t="s">
        <v>151</v>
      </c>
      <c r="V19" s="48">
        <v>7.5</v>
      </c>
      <c r="W19" s="51">
        <v>2</v>
      </c>
      <c r="X19" s="46" t="s">
        <v>152</v>
      </c>
      <c r="Y19" s="47">
        <v>8</v>
      </c>
      <c r="Z19" s="181"/>
      <c r="AA19" s="49">
        <f>$G$6*W19*'Vehicle Infos'!$L$29</f>
        <v>3.6759836666666668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ht="17.399999999999999" x14ac:dyDescent="0.35">
      <c r="A20" s="23"/>
      <c r="B20" s="23"/>
      <c r="C20" s="44" t="s">
        <v>153</v>
      </c>
      <c r="D20" s="45">
        <v>10</v>
      </c>
      <c r="E20" s="45">
        <v>1</v>
      </c>
      <c r="F20" s="46" t="s">
        <v>154</v>
      </c>
      <c r="G20" s="47">
        <v>4</v>
      </c>
      <c r="H20" s="181"/>
      <c r="I20" s="44">
        <f>$D$6*E20*'Vehicle Infos'!$L$10</f>
        <v>12.875533333333333</v>
      </c>
      <c r="J20" s="23"/>
      <c r="K20" s="23"/>
      <c r="L20" s="44" t="s">
        <v>155</v>
      </c>
      <c r="M20" s="48">
        <v>12</v>
      </c>
      <c r="N20" s="51">
        <v>3</v>
      </c>
      <c r="O20" s="46" t="s">
        <v>349</v>
      </c>
      <c r="P20" s="47">
        <v>4</v>
      </c>
      <c r="Q20" s="181"/>
      <c r="R20" s="49">
        <f>$F$6*N20*'Vehicle Infos'!$L$21</f>
        <v>9.2726597142857123</v>
      </c>
      <c r="S20" s="23"/>
      <c r="T20" s="23"/>
      <c r="U20" s="101" t="s">
        <v>156</v>
      </c>
      <c r="V20" s="48">
        <v>12</v>
      </c>
      <c r="W20" s="51">
        <v>4.5</v>
      </c>
      <c r="X20" s="46" t="s">
        <v>350</v>
      </c>
      <c r="Y20" s="47">
        <v>15</v>
      </c>
      <c r="Z20" s="193"/>
      <c r="AA20" s="49">
        <f>$G$6*W20*'Vehicle Infos'!$L$29</f>
        <v>8.2709632500000012</v>
      </c>
      <c r="AB20" s="23"/>
      <c r="AC20" s="23"/>
      <c r="AD20" s="5"/>
      <c r="AE20" s="5"/>
      <c r="AF20" s="5"/>
      <c r="AG20" s="52"/>
      <c r="AH20" s="52"/>
      <c r="AI20" s="52"/>
      <c r="AJ20" s="52"/>
      <c r="AK20" s="23"/>
    </row>
    <row r="21" spans="1:37" ht="17.399999999999999" x14ac:dyDescent="0.35">
      <c r="A21" s="23"/>
      <c r="B21" s="23"/>
      <c r="C21" s="44" t="s">
        <v>158</v>
      </c>
      <c r="D21" s="45">
        <v>11</v>
      </c>
      <c r="E21" s="45">
        <v>1</v>
      </c>
      <c r="F21" s="46" t="s">
        <v>161</v>
      </c>
      <c r="G21" s="47">
        <v>6</v>
      </c>
      <c r="H21" s="181"/>
      <c r="I21" s="44">
        <f>$D$6*E21*'Vehicle Infos'!$L$10</f>
        <v>12.875533333333333</v>
      </c>
      <c r="J21" s="23"/>
      <c r="K21" s="23"/>
      <c r="L21" s="44" t="s">
        <v>160</v>
      </c>
      <c r="M21" s="48">
        <v>15.5</v>
      </c>
      <c r="N21" s="51">
        <v>3.5</v>
      </c>
      <c r="O21" s="46" t="s">
        <v>288</v>
      </c>
      <c r="P21" s="91">
        <v>5</v>
      </c>
      <c r="Q21" s="181"/>
      <c r="R21" s="49">
        <f>$F$6*N21*'Vehicle Infos'!$L$21</f>
        <v>10.818102999999999</v>
      </c>
      <c r="S21" s="23"/>
      <c r="T21" s="23"/>
      <c r="U21" s="102" t="s">
        <v>162</v>
      </c>
      <c r="V21" s="48"/>
      <c r="W21" s="51">
        <f>SUM(W16:W20)</f>
        <v>12</v>
      </c>
      <c r="X21" s="46"/>
      <c r="Y21" s="92">
        <f>SUM(Y16:Y20)</f>
        <v>34</v>
      </c>
      <c r="Z21" s="92"/>
      <c r="AA21" s="49">
        <f>$G$6*W21*'Vehicle Infos'!$L$29</f>
        <v>22.055902000000003</v>
      </c>
      <c r="AB21" s="23"/>
      <c r="AC21" s="23"/>
      <c r="AD21" s="5"/>
      <c r="AE21" s="5"/>
      <c r="AF21" s="1"/>
      <c r="AG21" s="1"/>
      <c r="AH21" s="1"/>
      <c r="AI21" s="1"/>
      <c r="AJ21" s="1"/>
      <c r="AK21" s="23"/>
    </row>
    <row r="22" spans="1:37" ht="17.399999999999999" x14ac:dyDescent="0.35">
      <c r="A22" s="23"/>
      <c r="B22" s="23"/>
      <c r="C22" s="44" t="s">
        <v>163</v>
      </c>
      <c r="D22" s="45">
        <v>12</v>
      </c>
      <c r="E22" s="45">
        <v>1</v>
      </c>
      <c r="F22" s="46" t="s">
        <v>351</v>
      </c>
      <c r="G22" s="47">
        <v>4</v>
      </c>
      <c r="H22" s="181"/>
      <c r="I22" s="44">
        <f>$D$6*E22*'Vehicle Infos'!$L$10</f>
        <v>12.875533333333333</v>
      </c>
      <c r="J22" s="23"/>
      <c r="K22" s="23"/>
      <c r="L22" s="44" t="s">
        <v>165</v>
      </c>
      <c r="M22" s="48">
        <v>18.5</v>
      </c>
      <c r="N22" s="51">
        <v>3</v>
      </c>
      <c r="O22" s="46" t="s">
        <v>164</v>
      </c>
      <c r="P22" s="47">
        <v>6</v>
      </c>
      <c r="Q22" s="193"/>
      <c r="R22" s="49">
        <f>$F$6*N22*'Vehicle Infos'!$L$21</f>
        <v>9.2726597142857123</v>
      </c>
      <c r="S22" s="23"/>
      <c r="T22" s="23"/>
      <c r="U22" s="101"/>
      <c r="V22" s="48"/>
      <c r="W22" s="51"/>
      <c r="X22" s="46"/>
      <c r="Y22" s="47"/>
      <c r="Z22" s="47"/>
      <c r="AA22" s="57"/>
      <c r="AB22" s="23"/>
      <c r="AC22" s="23"/>
      <c r="AD22" s="5"/>
      <c r="AE22" s="5"/>
      <c r="AF22" s="1"/>
      <c r="AG22" s="1"/>
      <c r="AH22" s="1"/>
      <c r="AI22" s="1"/>
      <c r="AJ22" s="1"/>
      <c r="AK22" s="23"/>
    </row>
    <row r="23" spans="1:37" ht="17.399999999999999" x14ac:dyDescent="0.35">
      <c r="A23" s="23"/>
      <c r="B23" s="23"/>
      <c r="C23" s="44" t="s">
        <v>167</v>
      </c>
      <c r="D23" s="45">
        <v>14</v>
      </c>
      <c r="E23" s="45">
        <v>2</v>
      </c>
      <c r="F23" s="46" t="s">
        <v>352</v>
      </c>
      <c r="G23" s="47">
        <v>5</v>
      </c>
      <c r="H23" s="181"/>
      <c r="I23" s="44">
        <f>$D$6*E23*'Vehicle Infos'!$L$10</f>
        <v>25.751066666666667</v>
      </c>
      <c r="J23" s="23"/>
      <c r="K23" s="23"/>
      <c r="L23" s="54" t="s">
        <v>162</v>
      </c>
      <c r="M23" s="49"/>
      <c r="N23" s="45">
        <f>SUM(N16:N22)</f>
        <v>18.5</v>
      </c>
      <c r="O23" s="58"/>
      <c r="P23" s="75">
        <f>SUM(P17:P22)</f>
        <v>31</v>
      </c>
      <c r="Q23" s="75"/>
      <c r="R23" s="49">
        <f>$F$6*N23*'Vehicle Infos'!$L$21</f>
        <v>57.181401571428559</v>
      </c>
      <c r="S23" s="23"/>
      <c r="T23" s="23"/>
      <c r="U23" s="102"/>
      <c r="V23" s="49"/>
      <c r="W23" s="45"/>
      <c r="X23" s="58"/>
      <c r="Y23" s="75"/>
      <c r="Z23" s="75"/>
      <c r="AA23" s="57"/>
      <c r="AB23" s="23"/>
      <c r="AC23" s="23"/>
      <c r="AD23" s="5"/>
      <c r="AE23" s="5"/>
      <c r="AF23" s="188"/>
      <c r="AG23" s="176"/>
      <c r="AH23" s="176"/>
      <c r="AI23" s="176"/>
      <c r="AJ23" s="176"/>
      <c r="AK23" s="23"/>
    </row>
    <row r="24" spans="1:37" ht="17.399999999999999" x14ac:dyDescent="0.35">
      <c r="A24" s="23"/>
      <c r="B24" s="23"/>
      <c r="C24" s="44" t="s">
        <v>169</v>
      </c>
      <c r="D24" s="45">
        <v>14.5</v>
      </c>
      <c r="E24" s="45">
        <v>0.5</v>
      </c>
      <c r="F24" s="46" t="s">
        <v>290</v>
      </c>
      <c r="G24" s="47">
        <v>3</v>
      </c>
      <c r="H24" s="181"/>
      <c r="I24" s="44">
        <f>$D$6*E24*'Vehicle Infos'!$L$10</f>
        <v>6.4377666666666666</v>
      </c>
      <c r="J24" s="23"/>
      <c r="K24" s="23"/>
      <c r="L24" s="44"/>
      <c r="M24" s="45"/>
      <c r="N24" s="45"/>
      <c r="O24" s="46"/>
      <c r="P24" s="47"/>
      <c r="Q24" s="47"/>
      <c r="R24" s="57"/>
      <c r="S24" s="23"/>
      <c r="T24" s="23"/>
      <c r="U24" s="101"/>
      <c r="V24" s="45"/>
      <c r="W24" s="45"/>
      <c r="X24" s="46"/>
      <c r="Y24" s="47"/>
      <c r="Z24" s="47"/>
      <c r="AA24" s="57"/>
      <c r="AB24" s="23"/>
      <c r="AC24" s="23"/>
      <c r="AD24" s="5"/>
      <c r="AE24" s="5"/>
      <c r="AF24" s="1"/>
      <c r="AG24" s="1"/>
      <c r="AH24" s="1"/>
      <c r="AI24" s="1"/>
      <c r="AJ24" s="1"/>
      <c r="AK24" s="23"/>
    </row>
    <row r="25" spans="1:37" ht="17.399999999999999" x14ac:dyDescent="0.35">
      <c r="A25" s="23"/>
      <c r="B25" s="23"/>
      <c r="C25" s="44" t="s">
        <v>171</v>
      </c>
      <c r="D25" s="45">
        <v>15</v>
      </c>
      <c r="E25" s="45">
        <v>0.5</v>
      </c>
      <c r="F25" s="46" t="s">
        <v>353</v>
      </c>
      <c r="G25" s="47">
        <v>1</v>
      </c>
      <c r="H25" s="193"/>
      <c r="I25" s="44">
        <f>$D$6*E25*'Vehicle Infos'!$L$10</f>
        <v>6.4377666666666666</v>
      </c>
      <c r="J25" s="23"/>
      <c r="K25" s="23"/>
      <c r="L25" s="44"/>
      <c r="M25" s="45"/>
      <c r="N25" s="45"/>
      <c r="O25" s="46"/>
      <c r="P25" s="47"/>
      <c r="Q25" s="47"/>
      <c r="R25" s="57"/>
      <c r="S25" s="23"/>
      <c r="T25" s="23"/>
      <c r="U25" s="101"/>
      <c r="V25" s="45"/>
      <c r="W25" s="45"/>
      <c r="X25" s="46"/>
      <c r="Y25" s="47"/>
      <c r="Z25" s="47"/>
      <c r="AA25" s="57"/>
      <c r="AB25" s="23"/>
      <c r="AC25" s="23"/>
      <c r="AD25" s="5"/>
      <c r="AE25" s="5"/>
      <c r="AF25" s="1"/>
      <c r="AG25" s="1"/>
      <c r="AH25" s="1"/>
      <c r="AI25" s="1"/>
      <c r="AJ25" s="1"/>
      <c r="AK25" s="23"/>
    </row>
    <row r="26" spans="1:37" ht="17.399999999999999" x14ac:dyDescent="0.35">
      <c r="A26" s="23"/>
      <c r="B26" s="23"/>
      <c r="C26" s="54" t="s">
        <v>162</v>
      </c>
      <c r="D26" s="49"/>
      <c r="E26" s="45">
        <v>15</v>
      </c>
      <c r="F26" s="58"/>
      <c r="G26" s="75">
        <f>SUM(G17:G25)</f>
        <v>37</v>
      </c>
      <c r="H26" s="47"/>
      <c r="I26" s="44">
        <f>$D$6*E26*'Vehicle Infos'!$L$10</f>
        <v>193.13300000000001</v>
      </c>
      <c r="J26" s="23"/>
      <c r="K26" s="23"/>
      <c r="L26" s="54"/>
      <c r="M26" s="49"/>
      <c r="N26" s="45"/>
      <c r="O26" s="58"/>
      <c r="P26" s="75"/>
      <c r="Q26" s="75"/>
      <c r="R26" s="47"/>
      <c r="S26" s="23"/>
      <c r="T26" s="23"/>
      <c r="U26" s="102"/>
      <c r="V26" s="49"/>
      <c r="W26" s="45"/>
      <c r="X26" s="58"/>
      <c r="Y26" s="75"/>
      <c r="Z26" s="75"/>
      <c r="AA26" s="47"/>
      <c r="AB26" s="23"/>
      <c r="AC26" s="23"/>
      <c r="AD26" s="5"/>
      <c r="AE26" s="5"/>
      <c r="AF26" s="5"/>
      <c r="AG26" s="5"/>
      <c r="AH26" s="5"/>
      <c r="AI26" s="5"/>
      <c r="AJ26" s="5"/>
      <c r="AK26" s="23"/>
    </row>
    <row r="27" spans="1:37" ht="14.4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96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ht="14.4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96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ht="18" x14ac:dyDescent="0.35">
      <c r="A29" s="23"/>
      <c r="B29" s="23"/>
      <c r="C29" s="200" t="s">
        <v>354</v>
      </c>
      <c r="D29" s="201"/>
      <c r="E29" s="201"/>
      <c r="F29" s="201"/>
      <c r="G29" s="201"/>
      <c r="H29" s="201"/>
      <c r="I29" s="201"/>
      <c r="J29" s="23"/>
      <c r="K29" s="23"/>
      <c r="L29" s="32" t="s">
        <v>354</v>
      </c>
      <c r="M29" s="33"/>
      <c r="N29" s="33"/>
      <c r="O29" s="33"/>
      <c r="P29" s="33"/>
      <c r="Q29" s="33"/>
      <c r="R29" s="33"/>
      <c r="S29" s="23"/>
      <c r="T29" s="23"/>
      <c r="U29" s="97" t="s">
        <v>354</v>
      </c>
      <c r="V29" s="33"/>
      <c r="W29" s="33"/>
      <c r="X29" s="33"/>
      <c r="Y29" s="33"/>
      <c r="Z29" s="33"/>
      <c r="AA29" s="3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ht="72" customHeight="1" x14ac:dyDescent="0.4">
      <c r="A30" s="23"/>
      <c r="B30" s="23"/>
      <c r="C30" s="37" t="s">
        <v>176</v>
      </c>
      <c r="D30" s="38" t="s">
        <v>122</v>
      </c>
      <c r="E30" s="38" t="s">
        <v>129</v>
      </c>
      <c r="F30" s="38" t="s">
        <v>130</v>
      </c>
      <c r="G30" s="38" t="s">
        <v>131</v>
      </c>
      <c r="H30" s="39" t="s">
        <v>126</v>
      </c>
      <c r="I30" s="40" t="s">
        <v>127</v>
      </c>
      <c r="J30" s="23"/>
      <c r="K30" s="23"/>
      <c r="L30" s="72" t="s">
        <v>177</v>
      </c>
      <c r="M30" s="38" t="s">
        <v>122</v>
      </c>
      <c r="N30" s="38" t="s">
        <v>129</v>
      </c>
      <c r="O30" s="38" t="s">
        <v>130</v>
      </c>
      <c r="P30" s="38" t="s">
        <v>131</v>
      </c>
      <c r="Q30" s="41" t="s">
        <v>126</v>
      </c>
      <c r="R30" s="42" t="s">
        <v>127</v>
      </c>
      <c r="S30" s="23"/>
      <c r="T30" s="23"/>
      <c r="U30" s="43" t="s">
        <v>178</v>
      </c>
      <c r="V30" s="38" t="s">
        <v>122</v>
      </c>
      <c r="W30" s="38" t="s">
        <v>129</v>
      </c>
      <c r="X30" s="38" t="s">
        <v>130</v>
      </c>
      <c r="Y30" s="38" t="s">
        <v>131</v>
      </c>
      <c r="Z30" s="41" t="s">
        <v>126</v>
      </c>
      <c r="AA30" s="42" t="s">
        <v>127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ht="17.399999999999999" x14ac:dyDescent="0.35">
      <c r="A31" s="23"/>
      <c r="B31" s="23"/>
      <c r="C31" s="44" t="s">
        <v>133</v>
      </c>
      <c r="D31" s="45">
        <v>0</v>
      </c>
      <c r="E31" s="45">
        <v>0</v>
      </c>
      <c r="F31" s="46" t="s">
        <v>181</v>
      </c>
      <c r="G31" s="47"/>
      <c r="H31" s="180">
        <f>D7*D3*'Vehicle Infos'!K10</f>
        <v>1677.45</v>
      </c>
      <c r="I31" s="44">
        <f>$D$7*E31*'Vehicle Infos'!$L$10</f>
        <v>0</v>
      </c>
      <c r="J31" s="23"/>
      <c r="K31" s="23"/>
      <c r="L31" s="44" t="s">
        <v>135</v>
      </c>
      <c r="M31" s="48">
        <v>0</v>
      </c>
      <c r="N31" s="47">
        <v>0</v>
      </c>
      <c r="O31" s="46" t="s">
        <v>183</v>
      </c>
      <c r="P31" s="47">
        <v>0</v>
      </c>
      <c r="Q31" s="182">
        <f>F7*F3*'Vehicle Infos'!K21</f>
        <v>805.3699499999999</v>
      </c>
      <c r="R31" s="49">
        <f>$F$7*N31*'Vehicle Infos'!$L$21</f>
        <v>0</v>
      </c>
      <c r="S31" s="23"/>
      <c r="T31" s="23"/>
      <c r="U31" s="101" t="s">
        <v>136</v>
      </c>
      <c r="V31" s="48">
        <v>0</v>
      </c>
      <c r="W31" s="47">
        <v>0</v>
      </c>
      <c r="X31" s="46" t="s">
        <v>183</v>
      </c>
      <c r="Y31" s="47">
        <v>0</v>
      </c>
      <c r="Z31" s="182">
        <f>G7*G3*'Vehicle Infos'!K29</f>
        <v>506.87999999999994</v>
      </c>
      <c r="AA31" s="49">
        <f>$G$7*W31*'Vehicle Infos'!$L$29</f>
        <v>0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ht="17.399999999999999" x14ac:dyDescent="0.35">
      <c r="A32" s="23"/>
      <c r="B32" s="23"/>
      <c r="C32" s="44" t="s">
        <v>137</v>
      </c>
      <c r="D32" s="45">
        <v>7.5</v>
      </c>
      <c r="E32" s="45">
        <v>7.5</v>
      </c>
      <c r="F32" s="46" t="s">
        <v>185</v>
      </c>
      <c r="G32" s="47">
        <v>7</v>
      </c>
      <c r="H32" s="181"/>
      <c r="I32" s="44">
        <f>$D$7*E32*'Vehicle Infos'!$L$10</f>
        <v>407.51062999999999</v>
      </c>
      <c r="J32" s="23"/>
      <c r="K32" s="23"/>
      <c r="L32" s="44" t="s">
        <v>139</v>
      </c>
      <c r="M32" s="48">
        <v>1</v>
      </c>
      <c r="N32" s="47">
        <v>1</v>
      </c>
      <c r="O32" s="46" t="s">
        <v>355</v>
      </c>
      <c r="P32" s="47">
        <v>2</v>
      </c>
      <c r="Q32" s="181"/>
      <c r="R32" s="49">
        <f>$F$7*N32*'Vehicle Infos'!$L$21</f>
        <v>13.999897999999998</v>
      </c>
      <c r="S32" s="23"/>
      <c r="T32" s="23"/>
      <c r="U32" s="101" t="s">
        <v>141</v>
      </c>
      <c r="V32" s="48">
        <v>3</v>
      </c>
      <c r="W32" s="51">
        <v>3</v>
      </c>
      <c r="X32" s="46" t="s">
        <v>356</v>
      </c>
      <c r="Y32" s="47">
        <v>5</v>
      </c>
      <c r="Z32" s="181"/>
      <c r="AA32" s="49">
        <f>$G$7*W32*'Vehicle Infos'!$L$29</f>
        <v>32.081312000000004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ht="15.75" customHeight="1" x14ac:dyDescent="0.35">
      <c r="A33" s="23"/>
      <c r="B33" s="23"/>
      <c r="C33" s="44" t="s">
        <v>143</v>
      </c>
      <c r="D33" s="45">
        <v>8</v>
      </c>
      <c r="E33" s="45">
        <v>0.5</v>
      </c>
      <c r="F33" s="46" t="s">
        <v>296</v>
      </c>
      <c r="G33" s="47">
        <v>3</v>
      </c>
      <c r="H33" s="181"/>
      <c r="I33" s="44">
        <f>$D$7*E33*'Vehicle Infos'!$L$10</f>
        <v>27.167375333333332</v>
      </c>
      <c r="J33" s="23"/>
      <c r="K33" s="23"/>
      <c r="L33" s="44" t="s">
        <v>145</v>
      </c>
      <c r="M33" s="48">
        <v>2.5</v>
      </c>
      <c r="N33" s="51">
        <v>1.5</v>
      </c>
      <c r="O33" s="46" t="s">
        <v>357</v>
      </c>
      <c r="P33" s="47">
        <v>6</v>
      </c>
      <c r="Q33" s="181"/>
      <c r="R33" s="49">
        <f>$F$7*N33*'Vehicle Infos'!$L$21</f>
        <v>20.999846999999995</v>
      </c>
      <c r="S33" s="23"/>
      <c r="T33" s="23"/>
      <c r="U33" s="101" t="s">
        <v>146</v>
      </c>
      <c r="V33" s="48">
        <v>5.5</v>
      </c>
      <c r="W33" s="51">
        <v>2.5</v>
      </c>
      <c r="X33" s="46" t="s">
        <v>358</v>
      </c>
      <c r="Y33" s="47">
        <v>8</v>
      </c>
      <c r="Z33" s="181"/>
      <c r="AA33" s="49">
        <f>$G$7*W33*'Vehicle Infos'!$L$29</f>
        <v>26.734426666666668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ht="15.75" customHeight="1" x14ac:dyDescent="0.35">
      <c r="A34" s="23"/>
      <c r="B34" s="23"/>
      <c r="C34" s="44" t="s">
        <v>148</v>
      </c>
      <c r="D34" s="45">
        <v>9</v>
      </c>
      <c r="E34" s="45">
        <v>1</v>
      </c>
      <c r="F34" s="46" t="s">
        <v>193</v>
      </c>
      <c r="G34" s="47">
        <v>8</v>
      </c>
      <c r="H34" s="181"/>
      <c r="I34" s="44">
        <f>$D$7*E34*'Vehicle Infos'!$L$10</f>
        <v>54.334750666666665</v>
      </c>
      <c r="J34" s="23"/>
      <c r="K34" s="23"/>
      <c r="L34" s="44" t="s">
        <v>150</v>
      </c>
      <c r="M34" s="48">
        <v>9</v>
      </c>
      <c r="N34" s="51">
        <v>6.5</v>
      </c>
      <c r="O34" s="46" t="s">
        <v>294</v>
      </c>
      <c r="P34" s="47">
        <v>9</v>
      </c>
      <c r="Q34" s="181"/>
      <c r="R34" s="49">
        <f>$F$7*N34*'Vehicle Infos'!$L$21</f>
        <v>90.999336999999983</v>
      </c>
      <c r="S34" s="23"/>
      <c r="T34" s="23"/>
      <c r="U34" s="101" t="s">
        <v>151</v>
      </c>
      <c r="V34" s="48">
        <v>7.5</v>
      </c>
      <c r="W34" s="51">
        <v>2</v>
      </c>
      <c r="X34" s="46" t="s">
        <v>359</v>
      </c>
      <c r="Y34" s="47">
        <v>11</v>
      </c>
      <c r="Z34" s="181"/>
      <c r="AA34" s="49">
        <f>$G$7*W34*'Vehicle Infos'!$L$29</f>
        <v>21.387541333333335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ht="15.75" customHeight="1" x14ac:dyDescent="0.35">
      <c r="A35" s="23"/>
      <c r="B35" s="23"/>
      <c r="C35" s="44" t="s">
        <v>153</v>
      </c>
      <c r="D35" s="45">
        <v>10</v>
      </c>
      <c r="E35" s="45">
        <v>1</v>
      </c>
      <c r="F35" s="46" t="s">
        <v>197</v>
      </c>
      <c r="G35" s="47">
        <v>7</v>
      </c>
      <c r="H35" s="181"/>
      <c r="I35" s="44">
        <f>$D$7*E35*'Vehicle Infos'!$L$10</f>
        <v>54.334750666666665</v>
      </c>
      <c r="J35" s="23"/>
      <c r="K35" s="23"/>
      <c r="L35" s="44" t="s">
        <v>155</v>
      </c>
      <c r="M35" s="48">
        <v>12</v>
      </c>
      <c r="N35" s="51">
        <v>3</v>
      </c>
      <c r="O35" s="46" t="s">
        <v>360</v>
      </c>
      <c r="P35" s="47">
        <v>6</v>
      </c>
      <c r="Q35" s="181"/>
      <c r="R35" s="49">
        <f>$F$7*N35*'Vehicle Infos'!$L$21</f>
        <v>41.999693999999991</v>
      </c>
      <c r="S35" s="23"/>
      <c r="T35" s="23"/>
      <c r="U35" s="101" t="s">
        <v>156</v>
      </c>
      <c r="V35" s="48">
        <v>12</v>
      </c>
      <c r="W35" s="51">
        <v>4.5</v>
      </c>
      <c r="X35" s="46" t="s">
        <v>361</v>
      </c>
      <c r="Y35" s="47">
        <v>26</v>
      </c>
      <c r="Z35" s="193"/>
      <c r="AA35" s="49">
        <f>$G$7*W35*'Vehicle Infos'!$L$29</f>
        <v>48.121968000000003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ht="15.75" customHeight="1" x14ac:dyDescent="0.35">
      <c r="A36" s="23"/>
      <c r="B36" s="23"/>
      <c r="C36" s="44" t="s">
        <v>158</v>
      </c>
      <c r="D36" s="45">
        <v>11</v>
      </c>
      <c r="E36" s="45">
        <v>1</v>
      </c>
      <c r="F36" s="46" t="s">
        <v>362</v>
      </c>
      <c r="G36" s="47">
        <v>13</v>
      </c>
      <c r="H36" s="181"/>
      <c r="I36" s="44">
        <f>$D$7*E36*'Vehicle Infos'!$L$10</f>
        <v>54.334750666666665</v>
      </c>
      <c r="J36" s="23"/>
      <c r="K36" s="23"/>
      <c r="L36" s="44" t="s">
        <v>160</v>
      </c>
      <c r="M36" s="48">
        <v>15.5</v>
      </c>
      <c r="N36" s="51">
        <v>3.5</v>
      </c>
      <c r="O36" s="46" t="s">
        <v>363</v>
      </c>
      <c r="P36" s="47">
        <v>8</v>
      </c>
      <c r="Q36" s="181"/>
      <c r="R36" s="49">
        <f>$F$7*N36*'Vehicle Infos'!$L$21</f>
        <v>48.999642999999992</v>
      </c>
      <c r="S36" s="23"/>
      <c r="T36" s="23"/>
      <c r="U36" s="102" t="s">
        <v>162</v>
      </c>
      <c r="V36" s="48"/>
      <c r="W36" s="51">
        <f>SUM(W31:W35)</f>
        <v>12</v>
      </c>
      <c r="X36" s="46"/>
      <c r="Y36" s="75">
        <f>SUM(Y31:Y35)</f>
        <v>50</v>
      </c>
      <c r="Z36" s="75"/>
      <c r="AA36" s="49">
        <f>$G$7*W36*'Vehicle Infos'!$L$29</f>
        <v>128.32524800000002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ht="15.75" customHeight="1" x14ac:dyDescent="0.35">
      <c r="A37" s="23"/>
      <c r="B37" s="23"/>
      <c r="C37" s="44" t="s">
        <v>163</v>
      </c>
      <c r="D37" s="45">
        <v>12</v>
      </c>
      <c r="E37" s="45">
        <v>1</v>
      </c>
      <c r="F37" s="46" t="s">
        <v>364</v>
      </c>
      <c r="G37" s="47">
        <v>6</v>
      </c>
      <c r="H37" s="181"/>
      <c r="I37" s="44">
        <f>$D$7*E37*'Vehicle Infos'!$L$10</f>
        <v>54.334750666666665</v>
      </c>
      <c r="J37" s="23"/>
      <c r="K37" s="23"/>
      <c r="L37" s="44" t="s">
        <v>165</v>
      </c>
      <c r="M37" s="48">
        <v>18.5</v>
      </c>
      <c r="N37" s="51">
        <v>3</v>
      </c>
      <c r="O37" s="46" t="s">
        <v>296</v>
      </c>
      <c r="P37" s="47">
        <v>9</v>
      </c>
      <c r="Q37" s="193"/>
      <c r="R37" s="49">
        <f>$F$7*N37*'Vehicle Infos'!$L$21</f>
        <v>41.999693999999991</v>
      </c>
      <c r="S37" s="23"/>
      <c r="T37" s="23"/>
      <c r="U37" s="96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ht="15.75" customHeight="1" x14ac:dyDescent="0.35">
      <c r="A38" s="23"/>
      <c r="B38" s="23"/>
      <c r="C38" s="44" t="s">
        <v>167</v>
      </c>
      <c r="D38" s="45">
        <v>14</v>
      </c>
      <c r="E38" s="45">
        <v>2</v>
      </c>
      <c r="F38" s="46" t="s">
        <v>304</v>
      </c>
      <c r="G38" s="47">
        <v>11</v>
      </c>
      <c r="H38" s="181"/>
      <c r="I38" s="44">
        <f>$D$7*E38*'Vehicle Infos'!$L$10</f>
        <v>108.66950133333333</v>
      </c>
      <c r="J38" s="23"/>
      <c r="K38" s="23"/>
      <c r="L38" s="54" t="s">
        <v>162</v>
      </c>
      <c r="M38" s="49"/>
      <c r="N38" s="45">
        <f>SUM(N31:N37)</f>
        <v>18.5</v>
      </c>
      <c r="O38" s="58"/>
      <c r="P38" s="75">
        <f>SUM(P32:P37)</f>
        <v>40</v>
      </c>
      <c r="Q38" s="75"/>
      <c r="R38" s="49">
        <f>$F$7*N38*'Vehicle Infos'!$L$21</f>
        <v>258.99811299999993</v>
      </c>
      <c r="S38" s="23"/>
      <c r="T38" s="23"/>
      <c r="U38" s="96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ht="15.75" customHeight="1" x14ac:dyDescent="0.35">
      <c r="A39" s="23"/>
      <c r="B39" s="23"/>
      <c r="C39" s="44" t="s">
        <v>169</v>
      </c>
      <c r="D39" s="45">
        <v>14.5</v>
      </c>
      <c r="E39" s="45">
        <v>0.5</v>
      </c>
      <c r="F39" s="46" t="s">
        <v>305</v>
      </c>
      <c r="G39" s="47">
        <v>3</v>
      </c>
      <c r="H39" s="181"/>
      <c r="I39" s="44">
        <f>$D$7*E39*'Vehicle Infos'!$L$10</f>
        <v>27.167375333333332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96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ht="15.75" customHeight="1" x14ac:dyDescent="0.35">
      <c r="A40" s="23"/>
      <c r="B40" s="23"/>
      <c r="C40" s="44" t="s">
        <v>171</v>
      </c>
      <c r="D40" s="45">
        <v>15</v>
      </c>
      <c r="E40" s="45">
        <v>0.5</v>
      </c>
      <c r="F40" s="46" t="s">
        <v>306</v>
      </c>
      <c r="G40" s="47">
        <v>2</v>
      </c>
      <c r="H40" s="193"/>
      <c r="I40" s="44">
        <f>$D$7*E40*'Vehicle Infos'!$L$10</f>
        <v>27.167375333333332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96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ht="15.75" customHeight="1" x14ac:dyDescent="0.35">
      <c r="A41" s="23"/>
      <c r="B41" s="23"/>
      <c r="C41" s="54" t="s">
        <v>162</v>
      </c>
      <c r="D41" s="49"/>
      <c r="E41" s="76">
        <v>15</v>
      </c>
      <c r="F41" s="58"/>
      <c r="G41" s="75">
        <f>SUM(G32:G40)</f>
        <v>60</v>
      </c>
      <c r="H41" s="47"/>
      <c r="I41" s="44">
        <f>$D$7*E41*'Vehicle Infos'!$L$10</f>
        <v>815.02125999999998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96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ht="15.7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96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96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ht="21" customHeight="1" x14ac:dyDescent="0.35">
      <c r="A44" s="23"/>
      <c r="B44" s="23"/>
      <c r="C44" s="32" t="s">
        <v>365</v>
      </c>
      <c r="D44" s="69"/>
      <c r="E44" s="69"/>
      <c r="F44" s="69"/>
      <c r="G44" s="69"/>
      <c r="H44" s="69"/>
      <c r="I44" s="69"/>
      <c r="J44" s="23"/>
      <c r="K44" s="23"/>
      <c r="L44" s="32" t="s">
        <v>365</v>
      </c>
      <c r="M44" s="33"/>
      <c r="N44" s="33"/>
      <c r="O44" s="33"/>
      <c r="P44" s="33"/>
      <c r="Q44" s="33"/>
      <c r="R44" s="33"/>
      <c r="S44" s="23"/>
      <c r="T44" s="23"/>
      <c r="U44" s="97" t="s">
        <v>365</v>
      </c>
      <c r="V44" s="33"/>
      <c r="W44" s="33"/>
      <c r="X44" s="33"/>
      <c r="Y44" s="33"/>
      <c r="Z44" s="33"/>
      <c r="AA44" s="3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ht="69" customHeight="1" x14ac:dyDescent="0.4">
      <c r="A45" s="23"/>
      <c r="B45" s="23"/>
      <c r="C45" s="37" t="s">
        <v>176</v>
      </c>
      <c r="D45" s="38" t="s">
        <v>122</v>
      </c>
      <c r="E45" s="38" t="s">
        <v>129</v>
      </c>
      <c r="F45" s="38" t="s">
        <v>130</v>
      </c>
      <c r="G45" s="38" t="s">
        <v>131</v>
      </c>
      <c r="H45" s="39" t="s">
        <v>126</v>
      </c>
      <c r="I45" s="40" t="s">
        <v>127</v>
      </c>
      <c r="J45" s="23"/>
      <c r="K45" s="23"/>
      <c r="L45" s="72" t="s">
        <v>177</v>
      </c>
      <c r="M45" s="38" t="s">
        <v>122</v>
      </c>
      <c r="N45" s="38" t="s">
        <v>129</v>
      </c>
      <c r="O45" s="38" t="s">
        <v>130</v>
      </c>
      <c r="P45" s="38" t="s">
        <v>131</v>
      </c>
      <c r="Q45" s="41" t="s">
        <v>126</v>
      </c>
      <c r="R45" s="42" t="s">
        <v>127</v>
      </c>
      <c r="S45" s="23"/>
      <c r="T45" s="23"/>
      <c r="U45" s="43" t="s">
        <v>178</v>
      </c>
      <c r="V45" s="38" t="s">
        <v>122</v>
      </c>
      <c r="W45" s="38" t="s">
        <v>129</v>
      </c>
      <c r="X45" s="38" t="s">
        <v>130</v>
      </c>
      <c r="Y45" s="38" t="s">
        <v>131</v>
      </c>
      <c r="Z45" s="41" t="s">
        <v>126</v>
      </c>
      <c r="AA45" s="42" t="s">
        <v>127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ht="15.75" customHeight="1" x14ac:dyDescent="0.35">
      <c r="A46" s="23"/>
      <c r="B46" s="23"/>
      <c r="C46" s="44" t="s">
        <v>133</v>
      </c>
      <c r="D46" s="45">
        <v>0</v>
      </c>
      <c r="E46" s="45">
        <v>0</v>
      </c>
      <c r="F46" s="46" t="s">
        <v>214</v>
      </c>
      <c r="G46" s="47"/>
      <c r="H46" s="180">
        <f>D8*D3*'Vehicle Infos'!K10</f>
        <v>2734.8</v>
      </c>
      <c r="I46" s="44">
        <f>$D$8*E46*'Vehicle Infos'!$L$10</f>
        <v>0</v>
      </c>
      <c r="J46" s="23"/>
      <c r="K46" s="23"/>
      <c r="L46" s="44" t="s">
        <v>135</v>
      </c>
      <c r="M46" s="48">
        <v>0</v>
      </c>
      <c r="N46" s="47">
        <v>0</v>
      </c>
      <c r="O46" s="46" t="s">
        <v>308</v>
      </c>
      <c r="P46" s="47"/>
      <c r="Q46" s="182">
        <f>F8*F3*'Vehicle Infos'!K21</f>
        <v>909.96344999999985</v>
      </c>
      <c r="R46" s="49">
        <f>$F$8*N46*'Vehicle Infos'!$L$21</f>
        <v>0</v>
      </c>
      <c r="S46" s="23"/>
      <c r="T46" s="23"/>
      <c r="U46" s="101" t="s">
        <v>136</v>
      </c>
      <c r="V46" s="48">
        <v>0</v>
      </c>
      <c r="W46" s="47">
        <v>0</v>
      </c>
      <c r="X46" s="46" t="s">
        <v>308</v>
      </c>
      <c r="Y46" s="47">
        <v>0</v>
      </c>
      <c r="Z46" s="182">
        <f>G8*G3*'Vehicle Infos'!K29</f>
        <v>443.52</v>
      </c>
      <c r="AA46" s="49">
        <f>$G$8*W46*'Vehicle Infos'!$L$29</f>
        <v>0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ht="15.75" customHeight="1" x14ac:dyDescent="0.35">
      <c r="A47" s="23"/>
      <c r="B47" s="23"/>
      <c r="C47" s="44" t="s">
        <v>137</v>
      </c>
      <c r="D47" s="45">
        <v>7.5</v>
      </c>
      <c r="E47" s="45">
        <v>7.5</v>
      </c>
      <c r="F47" s="46" t="s">
        <v>217</v>
      </c>
      <c r="G47" s="47">
        <v>7</v>
      </c>
      <c r="H47" s="181"/>
      <c r="I47" s="44">
        <f>$D$8*E47*'Vehicle Infos'!$L$10</f>
        <v>664.37752</v>
      </c>
      <c r="J47" s="23"/>
      <c r="K47" s="23"/>
      <c r="L47" s="44" t="s">
        <v>139</v>
      </c>
      <c r="M47" s="48">
        <v>1</v>
      </c>
      <c r="N47" s="47">
        <v>1</v>
      </c>
      <c r="O47" s="46" t="s">
        <v>366</v>
      </c>
      <c r="P47" s="47">
        <v>2</v>
      </c>
      <c r="Q47" s="181"/>
      <c r="R47" s="49">
        <f>$F$8*N47*'Vehicle Infos'!$L$21</f>
        <v>15.818066571428568</v>
      </c>
      <c r="S47" s="23"/>
      <c r="T47" s="23"/>
      <c r="U47" s="101" t="s">
        <v>141</v>
      </c>
      <c r="V47" s="48">
        <v>3</v>
      </c>
      <c r="W47" s="51">
        <v>3</v>
      </c>
      <c r="X47" s="46" t="s">
        <v>309</v>
      </c>
      <c r="Y47" s="47">
        <v>5</v>
      </c>
      <c r="Z47" s="181"/>
      <c r="AA47" s="49">
        <f>$G$8*W47*'Vehicle Infos'!$L$29</f>
        <v>28.071148000000001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ht="15.75" customHeight="1" x14ac:dyDescent="0.35">
      <c r="A48" s="23"/>
      <c r="B48" s="23"/>
      <c r="C48" s="44" t="s">
        <v>143</v>
      </c>
      <c r="D48" s="45">
        <v>8</v>
      </c>
      <c r="E48" s="45">
        <v>0.5</v>
      </c>
      <c r="F48" s="46" t="s">
        <v>220</v>
      </c>
      <c r="G48" s="47">
        <v>2</v>
      </c>
      <c r="H48" s="181"/>
      <c r="I48" s="44">
        <f>$D$8*E48*'Vehicle Infos'!$L$10</f>
        <v>44.291834666666666</v>
      </c>
      <c r="J48" s="23"/>
      <c r="K48" s="23"/>
      <c r="L48" s="44" t="s">
        <v>145</v>
      </c>
      <c r="M48" s="48">
        <v>2.5</v>
      </c>
      <c r="N48" s="51">
        <v>1.5</v>
      </c>
      <c r="O48" s="46" t="s">
        <v>367</v>
      </c>
      <c r="P48" s="47">
        <v>4</v>
      </c>
      <c r="Q48" s="181"/>
      <c r="R48" s="49">
        <f>$F$8*N48*'Vehicle Infos'!$L$21</f>
        <v>23.727099857142854</v>
      </c>
      <c r="S48" s="23"/>
      <c r="T48" s="23"/>
      <c r="U48" s="101" t="s">
        <v>146</v>
      </c>
      <c r="V48" s="48">
        <v>5.5</v>
      </c>
      <c r="W48" s="51">
        <v>2.5</v>
      </c>
      <c r="X48" s="46" t="s">
        <v>368</v>
      </c>
      <c r="Y48" s="47">
        <v>7</v>
      </c>
      <c r="Z48" s="181"/>
      <c r="AA48" s="49">
        <f>$G$8*W48*'Vehicle Infos'!$L$29</f>
        <v>23.392623333333336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ht="15.75" customHeight="1" x14ac:dyDescent="0.35">
      <c r="A49" s="23"/>
      <c r="B49" s="23"/>
      <c r="C49" s="44" t="s">
        <v>148</v>
      </c>
      <c r="D49" s="45">
        <v>9</v>
      </c>
      <c r="E49" s="45">
        <v>1</v>
      </c>
      <c r="F49" s="46" t="s">
        <v>311</v>
      </c>
      <c r="G49" s="47">
        <v>3</v>
      </c>
      <c r="H49" s="181"/>
      <c r="I49" s="44">
        <f>$D$8*E49*'Vehicle Infos'!$L$10</f>
        <v>88.583669333333333</v>
      </c>
      <c r="J49" s="23"/>
      <c r="K49" s="23"/>
      <c r="L49" s="44" t="s">
        <v>150</v>
      </c>
      <c r="M49" s="48">
        <v>9</v>
      </c>
      <c r="N49" s="51">
        <v>6.5</v>
      </c>
      <c r="O49" s="46" t="s">
        <v>369</v>
      </c>
      <c r="P49" s="47">
        <v>9</v>
      </c>
      <c r="Q49" s="181"/>
      <c r="R49" s="49">
        <f>$F$8*N49*'Vehicle Infos'!$L$21</f>
        <v>102.8174327142857</v>
      </c>
      <c r="S49" s="23"/>
      <c r="T49" s="23"/>
      <c r="U49" s="101" t="s">
        <v>151</v>
      </c>
      <c r="V49" s="48">
        <v>7.5</v>
      </c>
      <c r="W49" s="51">
        <v>2</v>
      </c>
      <c r="X49" s="46" t="s">
        <v>370</v>
      </c>
      <c r="Y49" s="47">
        <v>9</v>
      </c>
      <c r="Z49" s="181"/>
      <c r="AA49" s="49">
        <f>$G$8*W49*'Vehicle Infos'!$L$29</f>
        <v>18.714098666666668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ht="15.75" customHeight="1" x14ac:dyDescent="0.35">
      <c r="A50" s="23"/>
      <c r="B50" s="23"/>
      <c r="C50" s="44" t="s">
        <v>153</v>
      </c>
      <c r="D50" s="45">
        <v>10</v>
      </c>
      <c r="E50" s="45">
        <v>1</v>
      </c>
      <c r="F50" s="46" t="s">
        <v>314</v>
      </c>
      <c r="G50" s="47">
        <v>3</v>
      </c>
      <c r="H50" s="181"/>
      <c r="I50" s="44">
        <f>$D$8*E50*'Vehicle Infos'!$L$10</f>
        <v>88.583669333333333</v>
      </c>
      <c r="J50" s="23"/>
      <c r="K50" s="23"/>
      <c r="L50" s="44" t="s">
        <v>155</v>
      </c>
      <c r="M50" s="48">
        <v>12</v>
      </c>
      <c r="N50" s="51">
        <v>3</v>
      </c>
      <c r="O50" s="46" t="s">
        <v>313</v>
      </c>
      <c r="P50" s="47">
        <v>4</v>
      </c>
      <c r="Q50" s="181"/>
      <c r="R50" s="49">
        <f>$F$8*N50*'Vehicle Infos'!$L$21</f>
        <v>47.454199714285707</v>
      </c>
      <c r="S50" s="23"/>
      <c r="T50" s="23"/>
      <c r="U50" s="101" t="s">
        <v>156</v>
      </c>
      <c r="V50" s="48">
        <v>12</v>
      </c>
      <c r="W50" s="51">
        <v>4.5</v>
      </c>
      <c r="X50" s="46" t="s">
        <v>315</v>
      </c>
      <c r="Y50" s="47">
        <v>13</v>
      </c>
      <c r="Z50" s="193"/>
      <c r="AA50" s="49">
        <f>$G$8*W50*'Vehicle Infos'!$L$29</f>
        <v>42.106722000000005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ht="15.75" customHeight="1" x14ac:dyDescent="0.35">
      <c r="A51" s="23"/>
      <c r="B51" s="23"/>
      <c r="C51" s="44" t="s">
        <v>158</v>
      </c>
      <c r="D51" s="45">
        <v>11</v>
      </c>
      <c r="E51" s="45">
        <v>1</v>
      </c>
      <c r="F51" s="46" t="s">
        <v>318</v>
      </c>
      <c r="G51" s="47">
        <v>7</v>
      </c>
      <c r="H51" s="181"/>
      <c r="I51" s="44">
        <f>$D$8*E51*'Vehicle Infos'!$L$10</f>
        <v>88.583669333333333</v>
      </c>
      <c r="J51" s="23"/>
      <c r="K51" s="23"/>
      <c r="L51" s="44" t="s">
        <v>160</v>
      </c>
      <c r="M51" s="48">
        <v>15.5</v>
      </c>
      <c r="N51" s="51">
        <v>3.5</v>
      </c>
      <c r="O51" s="46" t="s">
        <v>371</v>
      </c>
      <c r="P51" s="47">
        <v>5</v>
      </c>
      <c r="Q51" s="181"/>
      <c r="R51" s="49">
        <f>$F$8*N51*'Vehicle Infos'!$L$21</f>
        <v>55.363232999999994</v>
      </c>
      <c r="S51" s="23"/>
      <c r="T51" s="23"/>
      <c r="U51" s="102" t="s">
        <v>162</v>
      </c>
      <c r="V51" s="48"/>
      <c r="W51" s="51">
        <f>SUM(W46:W50)</f>
        <v>12</v>
      </c>
      <c r="X51" s="46"/>
      <c r="Y51" s="75">
        <f>SUM(Y46:Y50)</f>
        <v>34</v>
      </c>
      <c r="Z51" s="75"/>
      <c r="AA51" s="49">
        <f>$G$8*W51*'Vehicle Infos'!$L$29</f>
        <v>112.284592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ht="15.75" customHeight="1" x14ac:dyDescent="0.35">
      <c r="A52" s="23"/>
      <c r="B52" s="23"/>
      <c r="C52" s="44" t="s">
        <v>163</v>
      </c>
      <c r="D52" s="45">
        <v>12</v>
      </c>
      <c r="E52" s="45">
        <v>1</v>
      </c>
      <c r="F52" s="46" t="s">
        <v>235</v>
      </c>
      <c r="G52" s="47">
        <v>4</v>
      </c>
      <c r="H52" s="181"/>
      <c r="I52" s="44">
        <f>$D$8*E52*'Vehicle Infos'!$L$10</f>
        <v>88.583669333333333</v>
      </c>
      <c r="J52" s="23"/>
      <c r="K52" s="23"/>
      <c r="L52" s="44" t="s">
        <v>165</v>
      </c>
      <c r="M52" s="48">
        <v>18.5</v>
      </c>
      <c r="N52" s="51">
        <v>3</v>
      </c>
      <c r="O52" s="46" t="s">
        <v>372</v>
      </c>
      <c r="P52" s="47">
        <v>6</v>
      </c>
      <c r="Q52" s="193"/>
      <c r="R52" s="49">
        <f>$F$8*N52*'Vehicle Infos'!$L$21</f>
        <v>47.454199714285707</v>
      </c>
      <c r="S52" s="23"/>
      <c r="T52" s="23"/>
      <c r="U52" s="96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ht="15.75" customHeight="1" x14ac:dyDescent="0.35">
      <c r="A53" s="23"/>
      <c r="B53" s="23"/>
      <c r="C53" s="44" t="s">
        <v>167</v>
      </c>
      <c r="D53" s="45">
        <v>14</v>
      </c>
      <c r="E53" s="45">
        <v>2</v>
      </c>
      <c r="F53" s="46" t="s">
        <v>373</v>
      </c>
      <c r="G53" s="47">
        <v>5</v>
      </c>
      <c r="H53" s="181"/>
      <c r="I53" s="44">
        <f>$D$8*E53*'Vehicle Infos'!$L$10</f>
        <v>177.16733866666667</v>
      </c>
      <c r="J53" s="23"/>
      <c r="K53" s="23"/>
      <c r="L53" s="54" t="s">
        <v>162</v>
      </c>
      <c r="M53" s="49"/>
      <c r="N53" s="45">
        <f>SUM(N46:N52)</f>
        <v>18.5</v>
      </c>
      <c r="O53" s="58"/>
      <c r="P53" s="75">
        <f>SUM(P47:P52)</f>
        <v>30</v>
      </c>
      <c r="Q53" s="75"/>
      <c r="R53" s="49">
        <f>$F$8*N53*'Vehicle Infos'!$L$21</f>
        <v>292.63423157142853</v>
      </c>
      <c r="S53" s="23"/>
      <c r="T53" s="23"/>
      <c r="U53" s="96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ht="15.75" customHeight="1" x14ac:dyDescent="0.35">
      <c r="A54" s="23"/>
      <c r="B54" s="23"/>
      <c r="C54" s="44" t="s">
        <v>169</v>
      </c>
      <c r="D54" s="45">
        <v>14.5</v>
      </c>
      <c r="E54" s="45">
        <v>0.5</v>
      </c>
      <c r="F54" s="46" t="s">
        <v>374</v>
      </c>
      <c r="G54" s="47">
        <v>2</v>
      </c>
      <c r="H54" s="181"/>
      <c r="I54" s="44">
        <f>$D$8*E54*'Vehicle Infos'!$L$10</f>
        <v>44.291834666666666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96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ht="15.75" customHeight="1" x14ac:dyDescent="0.35">
      <c r="A55" s="23"/>
      <c r="B55" s="23"/>
      <c r="C55" s="44" t="s">
        <v>171</v>
      </c>
      <c r="D55" s="45">
        <v>15</v>
      </c>
      <c r="E55" s="45">
        <v>0.5</v>
      </c>
      <c r="F55" s="46" t="s">
        <v>375</v>
      </c>
      <c r="G55" s="47">
        <v>1</v>
      </c>
      <c r="H55" s="193"/>
      <c r="I55" s="44">
        <f>$D$8*E55*'Vehicle Infos'!$L$10</f>
        <v>44.291834666666666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96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ht="15.75" customHeight="1" x14ac:dyDescent="0.35">
      <c r="A56" s="23"/>
      <c r="B56" s="23"/>
      <c r="C56" s="54" t="s">
        <v>162</v>
      </c>
      <c r="D56" s="49"/>
      <c r="E56" s="76">
        <v>15</v>
      </c>
      <c r="F56" s="58"/>
      <c r="G56" s="75">
        <f>SUM(G47:G55)</f>
        <v>34</v>
      </c>
      <c r="H56" s="47"/>
      <c r="I56" s="44">
        <f>$D$8*E56*'Vehicle Infos'!$L$10</f>
        <v>1328.75504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96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ht="15.7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96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ht="15.7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96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ht="22.5" customHeight="1" x14ac:dyDescent="0.35">
      <c r="A59" s="23"/>
      <c r="B59" s="23"/>
      <c r="C59" s="32" t="s">
        <v>376</v>
      </c>
      <c r="D59" s="69"/>
      <c r="E59" s="69"/>
      <c r="F59" s="69"/>
      <c r="G59" s="69"/>
      <c r="H59" s="69"/>
      <c r="I59" s="69"/>
      <c r="J59" s="23"/>
      <c r="K59" s="23"/>
      <c r="L59" s="32" t="s">
        <v>376</v>
      </c>
      <c r="M59" s="33"/>
      <c r="N59" s="33"/>
      <c r="O59" s="33"/>
      <c r="P59" s="33"/>
      <c r="Q59" s="33"/>
      <c r="R59" s="33"/>
      <c r="S59" s="23"/>
      <c r="T59" s="23"/>
      <c r="U59" s="97" t="s">
        <v>376</v>
      </c>
      <c r="V59" s="33"/>
      <c r="W59" s="33"/>
      <c r="X59" s="33"/>
      <c r="Y59" s="33"/>
      <c r="Z59" s="33"/>
      <c r="AA59" s="3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ht="81" customHeight="1" x14ac:dyDescent="0.4">
      <c r="A60" s="23"/>
      <c r="B60" s="23"/>
      <c r="C60" s="37" t="s">
        <v>176</v>
      </c>
      <c r="D60" s="38" t="s">
        <v>122</v>
      </c>
      <c r="E60" s="38" t="s">
        <v>129</v>
      </c>
      <c r="F60" s="38" t="s">
        <v>130</v>
      </c>
      <c r="G60" s="38" t="s">
        <v>131</v>
      </c>
      <c r="H60" s="39" t="s">
        <v>126</v>
      </c>
      <c r="I60" s="40" t="s">
        <v>127</v>
      </c>
      <c r="J60" s="23"/>
      <c r="K60" s="23"/>
      <c r="L60" s="72" t="s">
        <v>177</v>
      </c>
      <c r="M60" s="38" t="s">
        <v>122</v>
      </c>
      <c r="N60" s="38" t="s">
        <v>129</v>
      </c>
      <c r="O60" s="38" t="s">
        <v>130</v>
      </c>
      <c r="P60" s="38" t="s">
        <v>131</v>
      </c>
      <c r="Q60" s="41" t="s">
        <v>126</v>
      </c>
      <c r="R60" s="42" t="s">
        <v>127</v>
      </c>
      <c r="S60" s="23"/>
      <c r="T60" s="23"/>
      <c r="U60" s="43" t="s">
        <v>178</v>
      </c>
      <c r="V60" s="38" t="s">
        <v>122</v>
      </c>
      <c r="W60" s="38" t="s">
        <v>129</v>
      </c>
      <c r="X60" s="38" t="s">
        <v>130</v>
      </c>
      <c r="Y60" s="38" t="s">
        <v>131</v>
      </c>
      <c r="Z60" s="41" t="s">
        <v>126</v>
      </c>
      <c r="AA60" s="42" t="s">
        <v>127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ht="15.75" customHeight="1" x14ac:dyDescent="0.35">
      <c r="A61" s="23"/>
      <c r="B61" s="23"/>
      <c r="C61" s="44" t="s">
        <v>133</v>
      </c>
      <c r="D61" s="45">
        <v>0</v>
      </c>
      <c r="E61" s="45">
        <v>0</v>
      </c>
      <c r="F61" s="46" t="s">
        <v>238</v>
      </c>
      <c r="G61" s="47"/>
      <c r="H61" s="194">
        <f>D9*D3*'Vehicle Infos'!K10</f>
        <v>1534.3500000000001</v>
      </c>
      <c r="I61" s="44">
        <f>$D$9*E61*'Vehicle Infos'!$L$10</f>
        <v>0</v>
      </c>
      <c r="J61" s="23"/>
      <c r="K61" s="23"/>
      <c r="L61" s="44" t="s">
        <v>135</v>
      </c>
      <c r="M61" s="48">
        <v>0</v>
      </c>
      <c r="N61" s="47">
        <v>0</v>
      </c>
      <c r="O61" s="46" t="s">
        <v>249</v>
      </c>
      <c r="P61" s="47"/>
      <c r="Q61" s="182">
        <f>F9*F3*'Vehicle Infos'!K21</f>
        <v>878.58539999999994</v>
      </c>
      <c r="R61" s="49">
        <f>$F$9*N61*'Vehicle Infos'!$L$21</f>
        <v>0</v>
      </c>
      <c r="S61" s="23"/>
      <c r="T61" s="23"/>
      <c r="U61" s="101" t="s">
        <v>136</v>
      </c>
      <c r="V61" s="48">
        <v>0</v>
      </c>
      <c r="W61" s="47">
        <v>0</v>
      </c>
      <c r="X61" s="46" t="s">
        <v>249</v>
      </c>
      <c r="Y61" s="47">
        <v>0</v>
      </c>
      <c r="Z61" s="182">
        <f>G9*G3*'Vehicle Infos'!K29</f>
        <v>261.35999999999996</v>
      </c>
      <c r="AA61" s="49">
        <f>$G$9*W61*'Vehicle Infos'!$L$29</f>
        <v>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ht="15.75" customHeight="1" x14ac:dyDescent="0.35">
      <c r="A62" s="23"/>
      <c r="B62" s="23"/>
      <c r="C62" s="44" t="s">
        <v>137</v>
      </c>
      <c r="D62" s="45">
        <v>7.5</v>
      </c>
      <c r="E62" s="45">
        <v>7.5</v>
      </c>
      <c r="F62" s="46" t="s">
        <v>239</v>
      </c>
      <c r="G62" s="47">
        <v>7</v>
      </c>
      <c r="H62" s="181"/>
      <c r="I62" s="44">
        <f>$D$9*E62*'Vehicle Infos'!$L$10</f>
        <v>372.74669</v>
      </c>
      <c r="J62" s="23"/>
      <c r="K62" s="23"/>
      <c r="L62" s="44" t="s">
        <v>139</v>
      </c>
      <c r="M62" s="48">
        <v>1</v>
      </c>
      <c r="N62" s="47">
        <v>1</v>
      </c>
      <c r="O62" s="46" t="s">
        <v>328</v>
      </c>
      <c r="P62" s="47">
        <v>2</v>
      </c>
      <c r="Q62" s="181"/>
      <c r="R62" s="49">
        <f>$F$9*N62*'Vehicle Infos'!$L$21</f>
        <v>15.272615999999998</v>
      </c>
      <c r="S62" s="23"/>
      <c r="T62" s="23"/>
      <c r="U62" s="101" t="s">
        <v>141</v>
      </c>
      <c r="V62" s="48">
        <v>3</v>
      </c>
      <c r="W62" s="51">
        <v>3</v>
      </c>
      <c r="X62" s="46" t="s">
        <v>377</v>
      </c>
      <c r="Y62" s="47">
        <v>5</v>
      </c>
      <c r="Z62" s="181"/>
      <c r="AA62" s="49">
        <f>$G$9*W62*'Vehicle Infos'!$L$29</f>
        <v>16.541926500000002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ht="15.75" customHeight="1" x14ac:dyDescent="0.35">
      <c r="A63" s="23"/>
      <c r="B63" s="23"/>
      <c r="C63" s="44" t="s">
        <v>143</v>
      </c>
      <c r="D63" s="45">
        <v>8</v>
      </c>
      <c r="E63" s="45">
        <v>0.5</v>
      </c>
      <c r="F63" s="46" t="s">
        <v>242</v>
      </c>
      <c r="G63" s="47">
        <v>6</v>
      </c>
      <c r="H63" s="181"/>
      <c r="I63" s="44">
        <f>$D$9*E63*'Vehicle Infos'!$L$10</f>
        <v>24.849779333333334</v>
      </c>
      <c r="J63" s="23"/>
      <c r="K63" s="23"/>
      <c r="L63" s="44" t="s">
        <v>145</v>
      </c>
      <c r="M63" s="48">
        <v>2.5</v>
      </c>
      <c r="N63" s="51">
        <v>1.5</v>
      </c>
      <c r="O63" s="46" t="s">
        <v>378</v>
      </c>
      <c r="P63" s="47">
        <v>5</v>
      </c>
      <c r="Q63" s="181"/>
      <c r="R63" s="49">
        <f>$F$9*N63*'Vehicle Infos'!$L$21</f>
        <v>22.908923999999995</v>
      </c>
      <c r="S63" s="23"/>
      <c r="T63" s="23"/>
      <c r="U63" s="101" t="s">
        <v>146</v>
      </c>
      <c r="V63" s="48">
        <v>5.5</v>
      </c>
      <c r="W63" s="51">
        <v>2.5</v>
      </c>
      <c r="X63" s="46" t="s">
        <v>250</v>
      </c>
      <c r="Y63" s="47">
        <v>8</v>
      </c>
      <c r="Z63" s="181"/>
      <c r="AA63" s="49">
        <f>$G$9*W63*'Vehicle Infos'!$L$29</f>
        <v>13.78493875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ht="15.75" customHeight="1" x14ac:dyDescent="0.35">
      <c r="A64" s="23"/>
      <c r="B64" s="23"/>
      <c r="C64" s="44" t="s">
        <v>148</v>
      </c>
      <c r="D64" s="45">
        <v>9</v>
      </c>
      <c r="E64" s="45">
        <v>1</v>
      </c>
      <c r="F64" s="46" t="s">
        <v>323</v>
      </c>
      <c r="G64" s="47">
        <v>7</v>
      </c>
      <c r="H64" s="181"/>
      <c r="I64" s="44">
        <f>$D$9*E64*'Vehicle Infos'!$L$10</f>
        <v>49.699558666666668</v>
      </c>
      <c r="J64" s="23"/>
      <c r="K64" s="23"/>
      <c r="L64" s="44" t="s">
        <v>150</v>
      </c>
      <c r="M64" s="48">
        <v>9</v>
      </c>
      <c r="N64" s="51">
        <v>6.5</v>
      </c>
      <c r="O64" s="46" t="s">
        <v>329</v>
      </c>
      <c r="P64" s="47">
        <v>10</v>
      </c>
      <c r="Q64" s="181"/>
      <c r="R64" s="49">
        <f>$F$9*N64*'Vehicle Infos'!$L$21</f>
        <v>99.272003999999981</v>
      </c>
      <c r="S64" s="23"/>
      <c r="T64" s="23"/>
      <c r="U64" s="101" t="s">
        <v>151</v>
      </c>
      <c r="V64" s="48">
        <v>7.5</v>
      </c>
      <c r="W64" s="51">
        <v>2</v>
      </c>
      <c r="X64" s="46" t="s">
        <v>379</v>
      </c>
      <c r="Y64" s="47">
        <v>13</v>
      </c>
      <c r="Z64" s="181"/>
      <c r="AA64" s="49">
        <f>$G$9*W64*'Vehicle Infos'!$L$29</f>
        <v>11.027951000000002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ht="15.75" customHeight="1" x14ac:dyDescent="0.35">
      <c r="A65" s="23"/>
      <c r="B65" s="23"/>
      <c r="C65" s="44" t="s">
        <v>153</v>
      </c>
      <c r="D65" s="45">
        <v>10</v>
      </c>
      <c r="E65" s="45">
        <v>1</v>
      </c>
      <c r="F65" s="46" t="s">
        <v>380</v>
      </c>
      <c r="G65" s="47">
        <v>7</v>
      </c>
      <c r="H65" s="181"/>
      <c r="I65" s="44">
        <f>$D$9*E65*'Vehicle Infos'!$L$10</f>
        <v>49.699558666666668</v>
      </c>
      <c r="J65" s="23"/>
      <c r="K65" s="23"/>
      <c r="L65" s="44" t="s">
        <v>155</v>
      </c>
      <c r="M65" s="48">
        <v>12</v>
      </c>
      <c r="N65" s="51">
        <v>3</v>
      </c>
      <c r="O65" s="46" t="s">
        <v>381</v>
      </c>
      <c r="P65" s="47">
        <v>5</v>
      </c>
      <c r="Q65" s="181"/>
      <c r="R65" s="49">
        <f>$F$9*N65*'Vehicle Infos'!$L$21</f>
        <v>45.817847999999991</v>
      </c>
      <c r="S65" s="23"/>
      <c r="T65" s="23"/>
      <c r="U65" s="101" t="s">
        <v>156</v>
      </c>
      <c r="V65" s="48">
        <v>12</v>
      </c>
      <c r="W65" s="51">
        <v>4.5</v>
      </c>
      <c r="X65" s="46" t="s">
        <v>382</v>
      </c>
      <c r="Y65" s="47">
        <v>28</v>
      </c>
      <c r="Z65" s="193"/>
      <c r="AA65" s="49">
        <f>$G$9*W65*'Vehicle Infos'!$L$29</f>
        <v>24.81288975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ht="15.75" customHeight="1" x14ac:dyDescent="0.35">
      <c r="A66" s="23"/>
      <c r="B66" s="23"/>
      <c r="C66" s="44" t="s">
        <v>158</v>
      </c>
      <c r="D66" s="45">
        <v>11</v>
      </c>
      <c r="E66" s="45">
        <v>1</v>
      </c>
      <c r="F66" s="46" t="s">
        <v>383</v>
      </c>
      <c r="G66" s="47">
        <v>13</v>
      </c>
      <c r="H66" s="181"/>
      <c r="I66" s="44">
        <f>$D$9*E66*'Vehicle Infos'!$L$10</f>
        <v>49.699558666666668</v>
      </c>
      <c r="J66" s="23"/>
      <c r="K66" s="23"/>
      <c r="L66" s="44" t="s">
        <v>160</v>
      </c>
      <c r="M66" s="48">
        <v>15.5</v>
      </c>
      <c r="N66" s="51">
        <v>3.5</v>
      </c>
      <c r="O66" s="46" t="s">
        <v>254</v>
      </c>
      <c r="P66" s="47">
        <v>11</v>
      </c>
      <c r="Q66" s="181"/>
      <c r="R66" s="49">
        <f>$F$9*N66*'Vehicle Infos'!$L$21</f>
        <v>53.45415599999999</v>
      </c>
      <c r="S66" s="23"/>
      <c r="T66" s="23"/>
      <c r="U66" s="102" t="s">
        <v>162</v>
      </c>
      <c r="V66" s="48"/>
      <c r="W66" s="51">
        <f>SUM(W61:W65)</f>
        <v>12</v>
      </c>
      <c r="X66" s="46"/>
      <c r="Y66" s="75">
        <f>SUM(Y61:Y65)</f>
        <v>54</v>
      </c>
      <c r="Z66" s="75"/>
      <c r="AA66" s="49">
        <f>$G$9*W66*'Vehicle Infos'!$L$29</f>
        <v>66.16770600000001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ht="15.75" customHeight="1" x14ac:dyDescent="0.35">
      <c r="A67" s="23"/>
      <c r="B67" s="23"/>
      <c r="C67" s="44" t="s">
        <v>163</v>
      </c>
      <c r="D67" s="45">
        <v>12</v>
      </c>
      <c r="E67" s="45">
        <v>1</v>
      </c>
      <c r="F67" s="46" t="s">
        <v>384</v>
      </c>
      <c r="G67" s="47">
        <v>6</v>
      </c>
      <c r="H67" s="181"/>
      <c r="I67" s="44">
        <f>$D$9*E67*'Vehicle Infos'!$L$10</f>
        <v>49.699558666666668</v>
      </c>
      <c r="J67" s="23"/>
      <c r="K67" s="23"/>
      <c r="L67" s="44" t="s">
        <v>165</v>
      </c>
      <c r="M67" s="48">
        <v>18.5</v>
      </c>
      <c r="N67" s="51">
        <v>3</v>
      </c>
      <c r="O67" s="46" t="s">
        <v>385</v>
      </c>
      <c r="P67" s="47">
        <v>13</v>
      </c>
      <c r="Q67" s="193"/>
      <c r="R67" s="49">
        <f>$F$9*N67*'Vehicle Infos'!$L$21</f>
        <v>45.817847999999991</v>
      </c>
      <c r="S67" s="23"/>
      <c r="T67" s="23"/>
      <c r="U67" s="96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ht="15.75" customHeight="1" x14ac:dyDescent="0.35">
      <c r="A68" s="23"/>
      <c r="B68" s="23"/>
      <c r="C68" s="44" t="s">
        <v>167</v>
      </c>
      <c r="D68" s="45">
        <v>14</v>
      </c>
      <c r="E68" s="45">
        <v>2</v>
      </c>
      <c r="F68" s="46" t="s">
        <v>386</v>
      </c>
      <c r="G68" s="47">
        <v>9</v>
      </c>
      <c r="H68" s="181"/>
      <c r="I68" s="44">
        <f>$D$9*E68*'Vehicle Infos'!$L$10</f>
        <v>99.399117333333336</v>
      </c>
      <c r="J68" s="23"/>
      <c r="K68" s="23"/>
      <c r="L68" s="54" t="s">
        <v>162</v>
      </c>
      <c r="M68" s="49"/>
      <c r="N68" s="45">
        <f>SUM(N61:N67)</f>
        <v>18.5</v>
      </c>
      <c r="O68" s="58"/>
      <c r="P68" s="75">
        <f>SUM(P62:P67)</f>
        <v>46</v>
      </c>
      <c r="Q68" s="75"/>
      <c r="R68" s="49">
        <f>$F$9*N68*'Vehicle Infos'!$L$21</f>
        <v>282.54339599999997</v>
      </c>
      <c r="S68" s="23"/>
      <c r="T68" s="23"/>
      <c r="U68" s="96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ht="15.75" customHeight="1" x14ac:dyDescent="0.35">
      <c r="A69" s="23"/>
      <c r="B69" s="23"/>
      <c r="C69" s="44" t="s">
        <v>169</v>
      </c>
      <c r="D69" s="45">
        <v>14.5</v>
      </c>
      <c r="E69" s="45">
        <v>0.5</v>
      </c>
      <c r="F69" s="46" t="s">
        <v>387</v>
      </c>
      <c r="G69" s="47">
        <v>3</v>
      </c>
      <c r="H69" s="181"/>
      <c r="I69" s="44">
        <f>$D$9*E69*'Vehicle Infos'!$L$10</f>
        <v>24.849779333333334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96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ht="15.75" customHeight="1" x14ac:dyDescent="0.35">
      <c r="A70" s="23"/>
      <c r="B70" s="23"/>
      <c r="C70" s="44" t="s">
        <v>171</v>
      </c>
      <c r="D70" s="45">
        <v>15</v>
      </c>
      <c r="E70" s="45">
        <v>0.5</v>
      </c>
      <c r="F70" s="46" t="s">
        <v>388</v>
      </c>
      <c r="G70" s="47">
        <v>3</v>
      </c>
      <c r="H70" s="193"/>
      <c r="I70" s="44">
        <f>$D$9*E70*'Vehicle Infos'!$L$10</f>
        <v>24.849779333333334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96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ht="15.75" customHeight="1" x14ac:dyDescent="0.35">
      <c r="A71" s="23"/>
      <c r="B71" s="23"/>
      <c r="C71" s="54" t="s">
        <v>162</v>
      </c>
      <c r="D71" s="49"/>
      <c r="E71" s="45">
        <v>15</v>
      </c>
      <c r="F71" s="58"/>
      <c r="G71" s="75">
        <f>SUM(G62:G70)</f>
        <v>61</v>
      </c>
      <c r="H71" s="47"/>
      <c r="I71" s="44">
        <f>$D$9*E71*'Vehicle Infos'!$L$10</f>
        <v>745.49338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96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ht="15.7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96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ht="15.7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96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ht="19.5" customHeight="1" x14ac:dyDescent="0.35">
      <c r="A74" s="23"/>
      <c r="B74" s="23"/>
      <c r="C74" s="32" t="s">
        <v>389</v>
      </c>
      <c r="D74" s="69"/>
      <c r="E74" s="69"/>
      <c r="F74" s="69"/>
      <c r="G74" s="69"/>
      <c r="H74" s="69"/>
      <c r="I74" s="69"/>
      <c r="J74" s="23"/>
      <c r="K74" s="23"/>
      <c r="L74" s="32" t="s">
        <v>389</v>
      </c>
      <c r="M74" s="33"/>
      <c r="N74" s="33"/>
      <c r="O74" s="33"/>
      <c r="P74" s="33"/>
      <c r="Q74" s="33"/>
      <c r="R74" s="33"/>
      <c r="S74" s="23"/>
      <c r="T74" s="23"/>
      <c r="U74" s="97" t="s">
        <v>389</v>
      </c>
      <c r="V74" s="33"/>
      <c r="W74" s="33"/>
      <c r="X74" s="33"/>
      <c r="Y74" s="33"/>
      <c r="Z74" s="33"/>
      <c r="AA74" s="3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ht="82.5" customHeight="1" x14ac:dyDescent="0.4">
      <c r="A75" s="23"/>
      <c r="B75" s="23"/>
      <c r="C75" s="37" t="s">
        <v>176</v>
      </c>
      <c r="D75" s="38" t="s">
        <v>122</v>
      </c>
      <c r="E75" s="38" t="s">
        <v>129</v>
      </c>
      <c r="F75" s="38" t="s">
        <v>130</v>
      </c>
      <c r="G75" s="38" t="s">
        <v>131</v>
      </c>
      <c r="H75" s="39" t="s">
        <v>126</v>
      </c>
      <c r="I75" s="40" t="s">
        <v>127</v>
      </c>
      <c r="J75" s="23"/>
      <c r="K75" s="23"/>
      <c r="L75" s="72" t="s">
        <v>177</v>
      </c>
      <c r="M75" s="38" t="s">
        <v>122</v>
      </c>
      <c r="N75" s="38" t="s">
        <v>129</v>
      </c>
      <c r="O75" s="38" t="s">
        <v>130</v>
      </c>
      <c r="P75" s="38" t="s">
        <v>131</v>
      </c>
      <c r="Q75" s="41" t="s">
        <v>126</v>
      </c>
      <c r="R75" s="42" t="s">
        <v>127</v>
      </c>
      <c r="S75" s="23"/>
      <c r="T75" s="23"/>
      <c r="U75" s="43" t="s">
        <v>178</v>
      </c>
      <c r="V75" s="38" t="s">
        <v>122</v>
      </c>
      <c r="W75" s="38" t="s">
        <v>129</v>
      </c>
      <c r="X75" s="38" t="s">
        <v>130</v>
      </c>
      <c r="Y75" s="38" t="s">
        <v>131</v>
      </c>
      <c r="Z75" s="41" t="s">
        <v>126</v>
      </c>
      <c r="AA75" s="42" t="s">
        <v>127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ht="15.75" customHeight="1" x14ac:dyDescent="0.35">
      <c r="A76" s="23"/>
      <c r="B76" s="23"/>
      <c r="C76" s="44" t="s">
        <v>133</v>
      </c>
      <c r="D76" s="45">
        <v>0</v>
      </c>
      <c r="E76" s="45">
        <v>0</v>
      </c>
      <c r="F76" s="46" t="s">
        <v>390</v>
      </c>
      <c r="G76" s="47"/>
      <c r="H76" s="194">
        <f>D10*D3*'Vehicle Infos'!K10</f>
        <v>1423.0500000000002</v>
      </c>
      <c r="I76" s="44">
        <f>$D$10*E76*'Vehicle Infos'!$L$10</f>
        <v>0</v>
      </c>
      <c r="J76" s="23"/>
      <c r="K76" s="23"/>
      <c r="L76" s="44" t="s">
        <v>135</v>
      </c>
      <c r="M76" s="48">
        <v>0</v>
      </c>
      <c r="N76" s="47">
        <v>0</v>
      </c>
      <c r="O76" s="46" t="s">
        <v>259</v>
      </c>
      <c r="P76" s="47"/>
      <c r="Q76" s="182">
        <f>F10*F3*'Vehicle Infos'!K21</f>
        <v>324.23984999999999</v>
      </c>
      <c r="R76" s="49">
        <f>$F$10*N76*'Vehicle Infos'!$L$21</f>
        <v>0</v>
      </c>
      <c r="S76" s="23"/>
      <c r="T76" s="23"/>
      <c r="U76" s="101" t="s">
        <v>136</v>
      </c>
      <c r="V76" s="48">
        <v>0</v>
      </c>
      <c r="W76" s="47">
        <v>0</v>
      </c>
      <c r="X76" s="46" t="s">
        <v>259</v>
      </c>
      <c r="Y76" s="47">
        <v>0</v>
      </c>
      <c r="Z76" s="182">
        <f>G10*G3*'Vehicle Infos'!K29</f>
        <v>245.51999999999998</v>
      </c>
      <c r="AA76" s="49">
        <f>$G$10*W76*'Vehicle Infos'!$L$29</f>
        <v>0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ht="15.75" customHeight="1" x14ac:dyDescent="0.35">
      <c r="A77" s="23"/>
      <c r="B77" s="23"/>
      <c r="C77" s="44" t="s">
        <v>137</v>
      </c>
      <c r="D77" s="45">
        <v>7.5</v>
      </c>
      <c r="E77" s="45">
        <v>7.5</v>
      </c>
      <c r="F77" s="46" t="s">
        <v>391</v>
      </c>
      <c r="G77" s="47">
        <v>7</v>
      </c>
      <c r="H77" s="181"/>
      <c r="I77" s="44">
        <f>$D$10*E77*'Vehicle Infos'!$L$10</f>
        <v>345.70807000000002</v>
      </c>
      <c r="J77" s="23"/>
      <c r="K77" s="23"/>
      <c r="L77" s="44" t="s">
        <v>139</v>
      </c>
      <c r="M77" s="48">
        <v>1</v>
      </c>
      <c r="N77" s="47">
        <v>1</v>
      </c>
      <c r="O77" s="46" t="s">
        <v>261</v>
      </c>
      <c r="P77" s="47">
        <v>2</v>
      </c>
      <c r="Q77" s="181"/>
      <c r="R77" s="49">
        <f>$F$10*N77*'Vehicle Infos'!$L$21</f>
        <v>5.6363225714285701</v>
      </c>
      <c r="S77" s="23"/>
      <c r="T77" s="23"/>
      <c r="U77" s="101" t="s">
        <v>141</v>
      </c>
      <c r="V77" s="48">
        <v>3</v>
      </c>
      <c r="W77" s="51">
        <v>3</v>
      </c>
      <c r="X77" s="46" t="s">
        <v>262</v>
      </c>
      <c r="Y77" s="47">
        <v>5</v>
      </c>
      <c r="Z77" s="181"/>
      <c r="AA77" s="49">
        <f>$G$10*W77*'Vehicle Infos'!$L$29</f>
        <v>15.539385500000002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ht="15.75" customHeight="1" x14ac:dyDescent="0.35">
      <c r="A78" s="23"/>
      <c r="B78" s="23"/>
      <c r="C78" s="44" t="s">
        <v>143</v>
      </c>
      <c r="D78" s="45">
        <v>8</v>
      </c>
      <c r="E78" s="45">
        <v>0.5</v>
      </c>
      <c r="F78" s="46" t="s">
        <v>260</v>
      </c>
      <c r="G78" s="47">
        <v>4</v>
      </c>
      <c r="H78" s="181"/>
      <c r="I78" s="44">
        <f>$D$10*E78*'Vehicle Infos'!$L$10</f>
        <v>23.047204666666666</v>
      </c>
      <c r="J78" s="23"/>
      <c r="K78" s="23"/>
      <c r="L78" s="44" t="s">
        <v>145</v>
      </c>
      <c r="M78" s="48">
        <v>2.5</v>
      </c>
      <c r="N78" s="51">
        <v>1.5</v>
      </c>
      <c r="O78" s="46" t="s">
        <v>333</v>
      </c>
      <c r="P78" s="47">
        <v>4</v>
      </c>
      <c r="Q78" s="181"/>
      <c r="R78" s="49">
        <f>$F$10*N78*'Vehicle Infos'!$L$21</f>
        <v>8.454483857142856</v>
      </c>
      <c r="S78" s="23"/>
      <c r="T78" s="23"/>
      <c r="U78" s="101" t="s">
        <v>146</v>
      </c>
      <c r="V78" s="48">
        <v>5.5</v>
      </c>
      <c r="W78" s="51">
        <v>2.5</v>
      </c>
      <c r="X78" s="46" t="s">
        <v>265</v>
      </c>
      <c r="Y78" s="47">
        <v>7</v>
      </c>
      <c r="Z78" s="181"/>
      <c r="AA78" s="49">
        <f>$G$10*W78*'Vehicle Infos'!$L$29</f>
        <v>12.949487916666667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ht="15.75" customHeight="1" x14ac:dyDescent="0.35">
      <c r="A79" s="23"/>
      <c r="B79" s="23"/>
      <c r="C79" s="44" t="s">
        <v>148</v>
      </c>
      <c r="D79" s="45">
        <v>9</v>
      </c>
      <c r="E79" s="45">
        <v>1</v>
      </c>
      <c r="F79" s="46" t="s">
        <v>332</v>
      </c>
      <c r="G79" s="47">
        <v>5</v>
      </c>
      <c r="H79" s="181"/>
      <c r="I79" s="44">
        <f>$D$10*E79*'Vehicle Infos'!$L$10</f>
        <v>46.094409333333331</v>
      </c>
      <c r="J79" s="23"/>
      <c r="K79" s="23"/>
      <c r="L79" s="44" t="s">
        <v>150</v>
      </c>
      <c r="M79" s="48">
        <v>9</v>
      </c>
      <c r="N79" s="51">
        <v>6.5</v>
      </c>
      <c r="O79" s="46" t="s">
        <v>392</v>
      </c>
      <c r="P79" s="47">
        <v>9</v>
      </c>
      <c r="Q79" s="181"/>
      <c r="R79" s="49">
        <f>$F$10*N79*'Vehicle Infos'!$L$21</f>
        <v>36.636096714285706</v>
      </c>
      <c r="S79" s="23"/>
      <c r="T79" s="23"/>
      <c r="U79" s="101" t="s">
        <v>151</v>
      </c>
      <c r="V79" s="48">
        <v>7.5</v>
      </c>
      <c r="W79" s="51">
        <v>2</v>
      </c>
      <c r="X79" s="46" t="s">
        <v>335</v>
      </c>
      <c r="Y79" s="47">
        <v>8</v>
      </c>
      <c r="Z79" s="181"/>
      <c r="AA79" s="49">
        <f>$G$10*W79*'Vehicle Infos'!$L$29</f>
        <v>10.359590333333333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ht="15.75" customHeight="1" x14ac:dyDescent="0.35">
      <c r="A80" s="23"/>
      <c r="B80" s="23"/>
      <c r="C80" s="44" t="s">
        <v>153</v>
      </c>
      <c r="D80" s="45">
        <v>10</v>
      </c>
      <c r="E80" s="45">
        <v>1</v>
      </c>
      <c r="F80" s="46" t="s">
        <v>393</v>
      </c>
      <c r="G80" s="47">
        <v>5</v>
      </c>
      <c r="H80" s="181"/>
      <c r="I80" s="44">
        <f>$D$10*E80*'Vehicle Infos'!$L$10</f>
        <v>46.094409333333331</v>
      </c>
      <c r="J80" s="23"/>
      <c r="K80" s="23"/>
      <c r="L80" s="44" t="s">
        <v>155</v>
      </c>
      <c r="M80" s="48">
        <v>12</v>
      </c>
      <c r="N80" s="51">
        <v>3</v>
      </c>
      <c r="O80" s="46" t="s">
        <v>335</v>
      </c>
      <c r="P80" s="47">
        <v>5</v>
      </c>
      <c r="Q80" s="181"/>
      <c r="R80" s="49">
        <f>$F$10*N80*'Vehicle Infos'!$L$21</f>
        <v>16.908967714285712</v>
      </c>
      <c r="S80" s="23"/>
      <c r="T80" s="23"/>
      <c r="U80" s="101" t="s">
        <v>156</v>
      </c>
      <c r="V80" s="48">
        <v>12</v>
      </c>
      <c r="W80" s="51">
        <v>4.5</v>
      </c>
      <c r="X80" s="46" t="s">
        <v>394</v>
      </c>
      <c r="Y80" s="47">
        <v>20</v>
      </c>
      <c r="Z80" s="193"/>
      <c r="AA80" s="49">
        <f>$G$10*W80*'Vehicle Infos'!$L$29</f>
        <v>23.309078250000002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ht="15.75" customHeight="1" x14ac:dyDescent="0.35">
      <c r="A81" s="23"/>
      <c r="B81" s="23"/>
      <c r="C81" s="44" t="s">
        <v>158</v>
      </c>
      <c r="D81" s="45">
        <v>11</v>
      </c>
      <c r="E81" s="45">
        <v>1</v>
      </c>
      <c r="F81" s="46" t="s">
        <v>269</v>
      </c>
      <c r="G81" s="47">
        <v>9</v>
      </c>
      <c r="H81" s="181"/>
      <c r="I81" s="44">
        <f>$D$10*E81*'Vehicle Infos'!$L$10</f>
        <v>46.094409333333331</v>
      </c>
      <c r="J81" s="23"/>
      <c r="K81" s="23"/>
      <c r="L81" s="44" t="s">
        <v>160</v>
      </c>
      <c r="M81" s="48">
        <v>15.5</v>
      </c>
      <c r="N81" s="51">
        <v>3.5</v>
      </c>
      <c r="O81" s="46" t="s">
        <v>395</v>
      </c>
      <c r="P81" s="47">
        <v>7</v>
      </c>
      <c r="Q81" s="181"/>
      <c r="R81" s="49">
        <f>$F$10*N81*'Vehicle Infos'!$L$21</f>
        <v>19.727128999999998</v>
      </c>
      <c r="S81" s="23"/>
      <c r="T81" s="23"/>
      <c r="U81" s="102" t="s">
        <v>162</v>
      </c>
      <c r="V81" s="48"/>
      <c r="W81" s="51">
        <f>SUM(W76:W80)</f>
        <v>12</v>
      </c>
      <c r="X81" s="46"/>
      <c r="Y81" s="75">
        <f>SUM(Y76:Y80)</f>
        <v>40</v>
      </c>
      <c r="Z81" s="75"/>
      <c r="AA81" s="49">
        <f>$G$10*W81*'Vehicle Infos'!$L$29</f>
        <v>62.157542000000007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ht="15.75" customHeight="1" x14ac:dyDescent="0.35">
      <c r="A82" s="23"/>
      <c r="B82" s="23"/>
      <c r="C82" s="44" t="s">
        <v>163</v>
      </c>
      <c r="D82" s="45">
        <v>12</v>
      </c>
      <c r="E82" s="45">
        <v>1</v>
      </c>
      <c r="F82" s="46" t="s">
        <v>396</v>
      </c>
      <c r="G82" s="47">
        <v>5</v>
      </c>
      <c r="H82" s="181"/>
      <c r="I82" s="44">
        <f>$D$10*E82*'Vehicle Infos'!$L$10</f>
        <v>46.094409333333331</v>
      </c>
      <c r="J82" s="23"/>
      <c r="K82" s="23"/>
      <c r="L82" s="44" t="s">
        <v>165</v>
      </c>
      <c r="M82" s="48">
        <v>18.5</v>
      </c>
      <c r="N82" s="51">
        <v>3</v>
      </c>
      <c r="O82" s="46" t="s">
        <v>397</v>
      </c>
      <c r="P82" s="47">
        <v>6</v>
      </c>
      <c r="Q82" s="193"/>
      <c r="R82" s="49">
        <f>$F$10*N82*'Vehicle Infos'!$L$21</f>
        <v>16.908967714285712</v>
      </c>
      <c r="S82" s="23"/>
      <c r="T82" s="23"/>
      <c r="U82" s="96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ht="15.75" customHeight="1" x14ac:dyDescent="0.35">
      <c r="A83" s="23"/>
      <c r="B83" s="23"/>
      <c r="C83" s="44" t="s">
        <v>167</v>
      </c>
      <c r="D83" s="45">
        <v>14</v>
      </c>
      <c r="E83" s="45">
        <v>2</v>
      </c>
      <c r="F83" s="46" t="s">
        <v>398</v>
      </c>
      <c r="G83" s="47">
        <v>6</v>
      </c>
      <c r="H83" s="181"/>
      <c r="I83" s="44">
        <f>$D$10*E83*'Vehicle Infos'!$L$10</f>
        <v>92.188818666666663</v>
      </c>
      <c r="J83" s="23"/>
      <c r="K83" s="23"/>
      <c r="L83" s="54" t="s">
        <v>162</v>
      </c>
      <c r="M83" s="49"/>
      <c r="N83" s="45">
        <f>SUM(N76:N82)</f>
        <v>18.5</v>
      </c>
      <c r="O83" s="58"/>
      <c r="P83" s="75">
        <f>SUM(P77:P82)</f>
        <v>33</v>
      </c>
      <c r="Q83" s="75"/>
      <c r="R83" s="49">
        <f>$F$10*N83*'Vehicle Infos'!$L$21</f>
        <v>104.27196757142856</v>
      </c>
      <c r="S83" s="23"/>
      <c r="T83" s="23"/>
      <c r="U83" s="96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ht="15.75" customHeight="1" x14ac:dyDescent="0.35">
      <c r="A84" s="23"/>
      <c r="B84" s="23"/>
      <c r="C84" s="44" t="s">
        <v>169</v>
      </c>
      <c r="D84" s="45">
        <v>14.5</v>
      </c>
      <c r="E84" s="45">
        <v>0.5</v>
      </c>
      <c r="F84" s="46" t="s">
        <v>272</v>
      </c>
      <c r="G84" s="47">
        <v>2</v>
      </c>
      <c r="H84" s="181"/>
      <c r="I84" s="44">
        <f>$D$10*E84*'Vehicle Infos'!$L$10</f>
        <v>23.047204666666666</v>
      </c>
      <c r="J84" s="23"/>
      <c r="K84" s="23"/>
      <c r="L84" s="44"/>
      <c r="M84" s="45"/>
      <c r="N84" s="45"/>
      <c r="O84" s="46"/>
      <c r="P84" s="47"/>
      <c r="Q84" s="47"/>
      <c r="R84" s="57"/>
      <c r="S84" s="23"/>
      <c r="T84" s="23"/>
      <c r="U84" s="96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ht="15.75" customHeight="1" x14ac:dyDescent="0.35">
      <c r="A85" s="23"/>
      <c r="B85" s="23"/>
      <c r="C85" s="44" t="s">
        <v>171</v>
      </c>
      <c r="D85" s="45">
        <v>15</v>
      </c>
      <c r="E85" s="45">
        <v>0.5</v>
      </c>
      <c r="F85" s="46" t="s">
        <v>340</v>
      </c>
      <c r="G85" s="47">
        <v>1</v>
      </c>
      <c r="H85" s="193"/>
      <c r="I85" s="44">
        <f>$D$10*E85*'Vehicle Infos'!$L$10</f>
        <v>23.047204666666666</v>
      </c>
      <c r="J85" s="23"/>
      <c r="K85" s="23"/>
      <c r="L85" s="44"/>
      <c r="M85" s="45"/>
      <c r="N85" s="45"/>
      <c r="O85" s="46"/>
      <c r="P85" s="47"/>
      <c r="Q85" s="47"/>
      <c r="R85" s="57"/>
      <c r="S85" s="23"/>
      <c r="T85" s="23"/>
      <c r="U85" s="96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ht="15.75" customHeight="1" x14ac:dyDescent="0.35">
      <c r="A86" s="23"/>
      <c r="B86" s="23"/>
      <c r="C86" s="54" t="s">
        <v>162</v>
      </c>
      <c r="D86" s="49"/>
      <c r="E86" s="45">
        <v>15</v>
      </c>
      <c r="F86" s="58"/>
      <c r="G86" s="75">
        <f>SUM(G77:G85)</f>
        <v>44</v>
      </c>
      <c r="H86" s="47"/>
      <c r="I86" s="44">
        <f>$D$10*E86*'Vehicle Infos'!$L$10</f>
        <v>691.41614000000004</v>
      </c>
      <c r="J86" s="23"/>
      <c r="K86" s="23"/>
      <c r="L86" s="54"/>
      <c r="M86" s="49"/>
      <c r="N86" s="45"/>
      <c r="O86" s="58"/>
      <c r="P86" s="75"/>
      <c r="Q86" s="75"/>
      <c r="R86" s="47"/>
      <c r="S86" s="23"/>
      <c r="T86" s="23"/>
      <c r="U86" s="96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ht="15.7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96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ht="15.7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96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ht="15.7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96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ht="15.7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96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96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96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96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96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96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96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96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96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96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96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ht="15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96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ht="15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96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ht="15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96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ht="15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96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ht="15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96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ht="15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96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ht="15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96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ht="15.7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96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ht="15.7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96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ht="15.7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96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ht="15.7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96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ht="15.7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96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ht="15.7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96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ht="15.7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96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ht="15.7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96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ht="15.7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96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ht="15.7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96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ht="15.7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96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ht="15.7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96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ht="15.7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96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ht="15.7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96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ht="15.7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96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ht="15.7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96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ht="15.7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96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ht="15.7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96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ht="15.7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96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ht="15.7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96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ht="15.7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96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ht="15.7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96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ht="15.7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96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ht="15.7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96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ht="15.7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96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ht="15.7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96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ht="15.7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96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ht="15.7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96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ht="15.7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96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ht="15.7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96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ht="15.7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96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ht="15.7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96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ht="15.7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96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ht="15.7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96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ht="15.7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96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ht="15.7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96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ht="15.7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96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ht="15.7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96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ht="15.7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96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ht="15.7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96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ht="15.7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96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ht="15.7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96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ht="15.7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96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ht="15.7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96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ht="15.7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96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ht="15.7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96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ht="15.7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96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ht="15.7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96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ht="15.7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96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ht="15.7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96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ht="15.7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96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ht="15.7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96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ht="15.7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96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ht="15.7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96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ht="15.7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96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ht="15.7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96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ht="15.7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96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ht="15.7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96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ht="15.7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9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ht="15.7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9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ht="15.7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9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ht="15.7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96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ht="15.7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9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ht="15.7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96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ht="15.7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96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ht="15.7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96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ht="15.7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96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ht="15.7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96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ht="15.7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96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ht="15.7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96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ht="15.7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96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ht="15.7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96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ht="15.7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96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ht="15.7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96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ht="15.7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96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ht="15.7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96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ht="15.7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96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ht="15.7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96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ht="15.7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96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ht="15.7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96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ht="15.7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96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ht="15.7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96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ht="15.7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96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ht="15.7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96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ht="15.7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96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ht="15.7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96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ht="15.7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96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ht="15.7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96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ht="15.7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96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ht="15.7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96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ht="15.7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96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ht="15.7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96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ht="15.7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96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ht="15.7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96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ht="15.7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96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ht="15.7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96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ht="15.7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96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ht="15.7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96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ht="15.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96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ht="15.7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96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ht="15.7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96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ht="15.7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96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ht="15.7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96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ht="15.7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96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ht="15.7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96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ht="15.7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96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ht="15.7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96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ht="15.7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96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ht="15.7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96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ht="15.7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96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ht="15.7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96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ht="15.7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96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ht="15.7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96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ht="15.7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96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ht="15.7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96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ht="15.7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96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ht="15.7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96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ht="15.7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96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ht="15.7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96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ht="15.7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96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ht="15.7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96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ht="15.7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96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ht="15.7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96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ht="15.7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96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ht="15.7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96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ht="15.7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96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ht="15.7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96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ht="15.7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96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ht="15.7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9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ht="15.7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96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ht="15.7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96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ht="15.7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96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ht="15.7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96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ht="15.7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96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ht="15.7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96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ht="15.7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96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ht="15.7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96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ht="15.7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96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ht="15.7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96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ht="15.7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96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ht="15.7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96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ht="15.7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96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ht="15.7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96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ht="15.7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96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ht="15.7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96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ht="15.7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96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ht="15.7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96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ht="15.7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96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ht="15.7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96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ht="15.7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96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ht="15.7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96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ht="15.7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96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ht="15.7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96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ht="15.7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96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ht="15.7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96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ht="15.7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96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ht="15.7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96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ht="15.7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96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ht="15.7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96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ht="15.7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96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ht="15.7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96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ht="15.7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96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ht="15.7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96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ht="15.7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96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ht="15.7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96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ht="15.7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96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ht="15.7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96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ht="15.7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96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ht="15.7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96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ht="15.7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96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ht="15.7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96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ht="15.7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96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ht="15.7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96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ht="15.7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96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ht="15.7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96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ht="15.7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96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ht="15.7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96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ht="15.7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96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ht="15.7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96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ht="15.7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96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ht="15.7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96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ht="15.7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96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ht="15.7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96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ht="15.7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96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ht="15.7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96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ht="15.7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96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ht="15.7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96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ht="15.7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96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ht="15.7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96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ht="15.7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96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ht="15.7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96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ht="15.7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96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ht="15.7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96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ht="15.7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96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ht="15.7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96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ht="15.7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96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ht="15.7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96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ht="15.7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96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ht="15.7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96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ht="15.7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96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ht="15.7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96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ht="15.7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96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ht="15.7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96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ht="15.7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96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ht="15.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96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ht="15.7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96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ht="15.7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96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ht="15.7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96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ht="15.7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96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ht="15.7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96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ht="15.7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96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ht="15.7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96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ht="15.7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96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ht="15.7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96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ht="15.7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96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ht="15.7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96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ht="15.7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96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ht="15.7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96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ht="15.7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96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ht="15.7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96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ht="15.7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96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ht="15.7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96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ht="15.7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96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ht="15.7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96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ht="15.7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96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ht="15.7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96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ht="15.7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96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ht="15.7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96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ht="15.7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96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ht="15.7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96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ht="15.7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96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ht="15.7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96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ht="15.7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96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ht="15.7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96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ht="15.7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96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ht="15.7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96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ht="15.7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96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ht="15.7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96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ht="15.7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96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ht="15.7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96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ht="15.7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96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ht="15.7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96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ht="15.7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96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ht="15.7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96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ht="15.7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96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ht="15.7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96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ht="15.7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96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ht="15.7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96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ht="15.7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96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ht="15.7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96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ht="15.7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96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ht="15.7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96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ht="15.7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96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ht="15.7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96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ht="15.7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96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ht="15.7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96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ht="15.7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96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ht="15.7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96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ht="15.7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96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ht="15.7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96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ht="15.7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96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ht="15.7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96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ht="15.7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96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ht="15.7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96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ht="15.7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96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ht="15.7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96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ht="15.7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96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ht="15.7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96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ht="15.7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96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ht="15.7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96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ht="15.7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96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ht="15.7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96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ht="15.7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96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ht="15.7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96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ht="15.7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96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ht="15.7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96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ht="15.7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96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ht="15.7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96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ht="15.7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96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ht="15.7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96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ht="15.7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96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ht="15.7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96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ht="15.7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96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ht="15.7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96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ht="15.7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96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ht="15.7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96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ht="15.7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96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ht="15.7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96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ht="15.7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96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ht="15.7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96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ht="15.7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96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ht="15.7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96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ht="15.7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96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ht="15.7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96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ht="15.7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96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ht="15.7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96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ht="15.7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96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ht="15.7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96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ht="15.7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96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ht="15.7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96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ht="15.7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96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ht="15.7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96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ht="15.7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96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ht="15.7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96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ht="15.7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96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ht="15.7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96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ht="15.7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96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ht="15.7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96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ht="15.7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96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ht="15.7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96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ht="15.7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96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ht="15.7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96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ht="15.7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96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ht="15.7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96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ht="15.7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96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ht="15.7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96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ht="15.7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96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ht="15.7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96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ht="15.7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96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ht="15.7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96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ht="15.7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96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ht="15.7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96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ht="15.7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96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ht="15.7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96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ht="15.7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96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ht="15.7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96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ht="15.7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96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ht="15.7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96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ht="15.7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96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ht="15.7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96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ht="15.7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96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ht="15.7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96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ht="15.7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96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ht="15.7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96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ht="15.7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96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ht="15.7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96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ht="15.7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96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ht="15.7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96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ht="15.7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96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ht="15.7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96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ht="15.7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96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ht="15.7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96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ht="15.7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96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ht="15.7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96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ht="15.7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96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ht="15.7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96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ht="15.7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96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ht="15.7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96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ht="15.7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96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ht="15.7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96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ht="15.7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96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ht="15.7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96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ht="15.7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96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ht="15.7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96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ht="15.7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96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ht="15.7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96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ht="15.7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96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ht="15.7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96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ht="15.7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96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ht="15.7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96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ht="15.7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96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ht="15.7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96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ht="15.7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96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ht="15.7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96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ht="15.7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96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ht="15.7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96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ht="15.7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96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ht="15.7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96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ht="15.7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96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ht="15.7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96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ht="15.7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96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ht="15.7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96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ht="15.7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96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ht="15.7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96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ht="15.7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96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ht="15.7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96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ht="15.7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96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ht="15.7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96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ht="15.7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96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ht="15.7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96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ht="15.7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96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ht="15.7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96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ht="15.7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96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ht="15.7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96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ht="15.7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96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ht="15.7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96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ht="15.7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96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ht="15.7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96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ht="15.7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96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ht="15.7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96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ht="15.7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96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ht="15.7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96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ht="15.7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96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ht="15.7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96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ht="15.7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96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ht="15.7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96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ht="15.7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96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ht="15.7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96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ht="15.7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96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ht="15.7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96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ht="15.7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96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ht="15.7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96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ht="15.7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96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ht="15.7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96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ht="15.7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96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ht="15.7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96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ht="15.7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96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ht="15.7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96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ht="15.7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96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ht="15.7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96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ht="15.7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96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ht="15.7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96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ht="15.7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96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ht="15.7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96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ht="15.7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96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ht="15.7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96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ht="15.7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96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ht="15.7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96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ht="15.7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96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ht="15.7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96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ht="15.7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96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ht="15.7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96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ht="15.7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96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ht="15.7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96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ht="15.7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96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ht="15.7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96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ht="15.7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96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ht="15.7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96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ht="15.7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96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ht="15.7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96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ht="15.7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96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ht="15.7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96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ht="15.7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96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ht="15.7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96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ht="15.7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96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ht="15.7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96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ht="15.7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96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ht="15.7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96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ht="15.7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96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ht="15.7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96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ht="15.7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96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ht="15.7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96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ht="15.7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96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ht="15.7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96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ht="15.7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96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ht="15.7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96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ht="15.7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96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ht="15.7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96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ht="15.7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96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ht="15.7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96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ht="15.7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96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ht="15.7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96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ht="15.7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96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ht="15.7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96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ht="15.7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96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ht="15.7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96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ht="15.7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96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ht="15.7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96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ht="15.7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96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ht="15.7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96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ht="15.7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96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ht="15.7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96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ht="15.7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96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ht="15.7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96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ht="15.7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96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ht="15.7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96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ht="15.7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96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ht="15.7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96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ht="15.7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96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ht="15.7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96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ht="15.7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96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ht="15.7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96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ht="15.7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96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ht="15.7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96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ht="15.7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96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ht="15.7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96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ht="15.7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96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ht="15.7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96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ht="15.7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96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ht="15.7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96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ht="15.7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96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ht="15.7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96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ht="15.7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96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ht="15.7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96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ht="15.7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96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ht="15.7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96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ht="15.7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96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ht="15.7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96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ht="15.7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96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ht="15.7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96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ht="15.7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96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ht="15.7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96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ht="15.7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96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ht="15.7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96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ht="15.7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96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ht="15.7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96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ht="15.7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96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ht="15.7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96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ht="15.7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96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ht="15.7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96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ht="15.7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96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ht="15.7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96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ht="15.7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96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ht="15.7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96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ht="15.7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96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ht="15.7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96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ht="15.7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96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ht="15.7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96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ht="15.7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96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ht="15.7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96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ht="15.7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96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ht="15.7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96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ht="15.7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96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ht="15.7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96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ht="15.7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96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ht="15.7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96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ht="15.7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96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ht="15.7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96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ht="15.7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96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ht="15.7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96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ht="15.7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96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ht="15.7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96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ht="15.7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96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ht="15.7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96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ht="15.7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96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ht="15.7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96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ht="15.7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96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ht="15.7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96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ht="15.7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96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ht="15.7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96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ht="15.7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96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ht="15.7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96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ht="15.7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96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ht="15.7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96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ht="15.7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96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ht="15.7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96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ht="15.7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96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ht="15.7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96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ht="15.7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96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ht="15.7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96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ht="15.7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96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ht="15.7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96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ht="15.7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96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ht="15.7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96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ht="15.7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96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ht="15.7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96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ht="15.7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96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ht="15.7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96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ht="15.7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96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ht="15.7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96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ht="15.7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96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ht="15.7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96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ht="15.7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96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ht="15.7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96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ht="15.7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96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96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ht="15.7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96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ht="15.7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96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96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ht="15.7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96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ht="15.7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96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ht="15.7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96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ht="15.7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96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ht="15.7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96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ht="15.7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96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ht="15.7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96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ht="15.7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96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ht="15.7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96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ht="15.7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96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ht="15.7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96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ht="15.7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96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ht="15.7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96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ht="15.7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96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ht="15.7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96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ht="15.7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96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ht="15.7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96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ht="15.7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96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ht="15.7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96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ht="15.7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96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ht="15.7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96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ht="15.7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96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ht="15.7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96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ht="15.7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96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ht="15.7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96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ht="15.7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96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ht="15.7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96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ht="15.7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96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ht="15.7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96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ht="15.7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96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ht="15.7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96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ht="15.7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96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ht="15.7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96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ht="15.7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96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ht="15.7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96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ht="15.7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96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ht="15.7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96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ht="15.7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96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ht="15.7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96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ht="15.7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96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ht="15.7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96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ht="15.7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96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ht="15.7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96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ht="15.7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96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ht="15.7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96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ht="15.7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96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ht="15.7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96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ht="15.7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96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ht="15.7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96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ht="15.7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96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ht="15.7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96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ht="15.7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96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ht="15.7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96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ht="15.7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96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ht="15.7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96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ht="15.7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96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ht="15.7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96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ht="15.7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96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ht="15.7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96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ht="15.7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96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ht="15.7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96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ht="15.7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96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ht="15.7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96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ht="15.7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96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ht="15.7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96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ht="15.7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96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ht="15.7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96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ht="15.7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96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ht="15.7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96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ht="15.7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96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ht="15.7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96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ht="15.7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96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ht="15.7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96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ht="15.7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96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ht="15.7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96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ht="15.7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96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ht="15.7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96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ht="15.7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96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ht="15.7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96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ht="15.7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96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ht="15.7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96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ht="15.7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96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ht="15.7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96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ht="15.7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96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ht="15.7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96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ht="15.7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96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ht="15.7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96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ht="15.7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96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ht="15.7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96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ht="15.7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96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ht="15.7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96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ht="15.7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96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ht="15.7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96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ht="15.7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96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ht="15.7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96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ht="15.7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96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ht="15.7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96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ht="15.7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96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ht="15.7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96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ht="15.7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96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ht="15.7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96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ht="15.7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96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ht="15.7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96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ht="15.7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96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ht="15.7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96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ht="15.7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96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ht="15.7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96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ht="15.7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96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ht="15.7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96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ht="15.7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96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ht="15.7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96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ht="15.7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96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ht="15.7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96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ht="15.7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96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ht="15.7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96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ht="15.7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96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ht="15.7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96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ht="15.7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96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ht="15.7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96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ht="15.7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96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ht="15.7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96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ht="15.7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96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ht="15.7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96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ht="15.7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96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ht="15.7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96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ht="15.7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96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ht="15.7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96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ht="15.7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96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ht="15.7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96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ht="15.7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96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ht="15.7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96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ht="15.7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96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ht="15.7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96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ht="15.7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96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ht="15.7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96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ht="15.7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96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ht="15.7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96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ht="15.7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96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ht="15.7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96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ht="15.7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96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ht="15.7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96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ht="15.7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96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ht="15.7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96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ht="15.7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96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ht="15.7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96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ht="15.7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96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ht="15.7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96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ht="15.7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96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ht="15.7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96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ht="15.7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96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ht="15.7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96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ht="15.7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96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ht="15.7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96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ht="15.7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96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ht="15.7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96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ht="15.7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96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ht="15.7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96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ht="15.7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96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ht="15.7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96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ht="15.7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96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ht="15.7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96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ht="15.7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96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ht="15.7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96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ht="15.7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96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ht="15.7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96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ht="15.7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96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ht="15.7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96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ht="15.7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96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ht="15.7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96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ht="15.7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96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ht="15.7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96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ht="15.7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96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ht="15.7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96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ht="15.7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96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ht="15.7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96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ht="15.7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96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ht="15.7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96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ht="15.7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96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ht="15.7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96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ht="15.7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96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ht="15.7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96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ht="15.7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96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ht="15.7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96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ht="15.7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96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ht="15.7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96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ht="15.7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96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ht="15.7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96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ht="15.7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96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ht="15.7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96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ht="15.7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96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ht="15.7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96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ht="15.7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96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ht="15.7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96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ht="15.7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96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ht="15.7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96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ht="15.7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96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ht="15.7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96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ht="15.7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96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ht="15.7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96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ht="15.7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96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ht="15.7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96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ht="15.7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96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ht="15.7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96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ht="15.7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96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ht="15.7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96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ht="15.7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96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ht="15.7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96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ht="15.7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96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ht="15.7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96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ht="15.7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96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ht="15.7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96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ht="15.7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96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ht="15.7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96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ht="15.7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96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ht="15.7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96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ht="15.7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96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ht="15.7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96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ht="15.7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96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ht="15.7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96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ht="15.7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96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ht="15.7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96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ht="15.7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96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ht="15.7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96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ht="15.7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96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ht="15.7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96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ht="15.7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96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ht="15.7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96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ht="15.7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96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ht="15.7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96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ht="15.7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96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ht="15.7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96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ht="15.7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96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ht="15.7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96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ht="15.7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96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ht="15.7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96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ht="15.7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96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ht="15.7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96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ht="15.7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96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ht="15.7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96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ht="15.7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96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ht="15.7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96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ht="15.7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96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ht="15.7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96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ht="15.7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96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ht="15.7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96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ht="15.7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96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ht="15.7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96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ht="15.7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96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ht="15.7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96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ht="15.7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96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ht="15.7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96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ht="15.7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96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ht="15.7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96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ht="15.7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96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ht="15.7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96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ht="15.7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96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ht="15.7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96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ht="15.7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96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ht="15.7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96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ht="15.7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96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ht="15.7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96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ht="15.7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96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ht="15.7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96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ht="15.7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96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ht="15.7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96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ht="15.7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96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ht="15.7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96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ht="15.7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96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ht="15.7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96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ht="15.7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96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ht="15.7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96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ht="15.7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96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ht="15.7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96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ht="15.7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96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ht="15.7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96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ht="15.7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96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ht="15.7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96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ht="15.7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96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ht="15.7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96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ht="15.7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96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ht="15.7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96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ht="15.7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96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ht="15.7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96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ht="15.7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96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ht="15.7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96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ht="15.7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96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ht="15.7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96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ht="15.7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96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ht="15.7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96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ht="15.7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96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ht="15.7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96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ht="15.7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96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ht="15.7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96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ht="15.7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96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ht="15.7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96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ht="15.7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96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ht="15.7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96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ht="15.7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96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ht="15.7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96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ht="15.7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96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ht="15.7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96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ht="15.7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96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ht="15.7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96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ht="15.7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96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ht="15.7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96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ht="15.7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96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ht="15.7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96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ht="15.7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96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ht="15.7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96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ht="15.7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96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ht="15.7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96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ht="15.7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96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ht="15.7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96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ht="15.7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96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ht="15.7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96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ht="15.7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96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ht="15.7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96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ht="15.7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96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ht="15.7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96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ht="15.7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96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ht="15.7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96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ht="15.7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96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ht="15.7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96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ht="15.7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96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ht="15.7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96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ht="15.7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96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ht="15.7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96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ht="15.7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96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ht="15.7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96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ht="15.7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96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ht="15.7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96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ht="15.7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96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ht="15.7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96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ht="15.75" customHeight="1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96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  <row r="1001" spans="1:37" ht="15.75" customHeight="1" x14ac:dyDescent="0.3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96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</row>
    <row r="1002" spans="1:37" ht="15.75" customHeight="1" x14ac:dyDescent="0.3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96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</row>
    <row r="1003" spans="1:37" ht="15.75" customHeight="1" x14ac:dyDescent="0.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96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</row>
    <row r="1004" spans="1:37" ht="15.75" customHeight="1" x14ac:dyDescent="0.3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96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</row>
    <row r="1005" spans="1:37" ht="15.75" customHeight="1" x14ac:dyDescent="0.3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96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</row>
    <row r="1006" spans="1:37" ht="15.75" customHeight="1" x14ac:dyDescent="0.3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96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</row>
    <row r="1007" spans="1:37" ht="15.75" customHeight="1" x14ac:dyDescent="0.3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96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</row>
    <row r="1008" spans="1:37" ht="15.75" customHeight="1" x14ac:dyDescent="0.3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96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</row>
    <row r="1009" spans="1:37" ht="15.75" customHeight="1" x14ac:dyDescent="0.3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96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</row>
  </sheetData>
  <mergeCells count="29">
    <mergeCell ref="H14:I14"/>
    <mergeCell ref="H16:H25"/>
    <mergeCell ref="D7:E7"/>
    <mergeCell ref="D8:E8"/>
    <mergeCell ref="H31:H40"/>
    <mergeCell ref="D2:E2"/>
    <mergeCell ref="B3:B4"/>
    <mergeCell ref="D3:E3"/>
    <mergeCell ref="D4:E4"/>
    <mergeCell ref="B5:B10"/>
    <mergeCell ref="D5:G5"/>
    <mergeCell ref="D6:E6"/>
    <mergeCell ref="D9:E9"/>
    <mergeCell ref="D10:E10"/>
    <mergeCell ref="Z16:Z20"/>
    <mergeCell ref="AF23:AJ23"/>
    <mergeCell ref="C29:I29"/>
    <mergeCell ref="Z61:Z65"/>
    <mergeCell ref="Z76:Z80"/>
    <mergeCell ref="Q16:Q22"/>
    <mergeCell ref="Q31:Q37"/>
    <mergeCell ref="Z31:Z35"/>
    <mergeCell ref="Q46:Q52"/>
    <mergeCell ref="Z46:Z50"/>
    <mergeCell ref="Q61:Q67"/>
    <mergeCell ref="Q76:Q82"/>
    <mergeCell ref="H76:H85"/>
    <mergeCell ref="H46:H55"/>
    <mergeCell ref="H61:H7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009"/>
  <sheetViews>
    <sheetView topLeftCell="S67" zoomScale="90" zoomScaleNormal="90" workbookViewId="0">
      <selection activeCell="AB76" sqref="AB76:AB81"/>
    </sheetView>
  </sheetViews>
  <sheetFormatPr defaultColWidth="14.44140625" defaultRowHeight="15" customHeight="1" x14ac:dyDescent="0.3"/>
  <cols>
    <col min="1" max="1" width="4.6640625" customWidth="1"/>
    <col min="2" max="2" width="17.44140625" customWidth="1"/>
    <col min="3" max="3" width="33.44140625" customWidth="1"/>
    <col min="4" max="4" width="13.6640625" customWidth="1"/>
    <col min="5" max="5" width="14.33203125" customWidth="1"/>
    <col min="6" max="6" width="10.109375" customWidth="1"/>
    <col min="7" max="7" width="12.109375" customWidth="1"/>
    <col min="8" max="8" width="16.44140625" customWidth="1"/>
    <col min="9" max="9" width="15.6640625" customWidth="1"/>
    <col min="10" max="10" width="10.109375" customWidth="1"/>
    <col min="11" max="12" width="8.6640625" customWidth="1"/>
    <col min="13" max="13" width="38.88671875" customWidth="1"/>
    <col min="14" max="14" width="14.109375" customWidth="1"/>
    <col min="15" max="15" width="12.33203125" customWidth="1"/>
    <col min="16" max="16" width="8.6640625" customWidth="1"/>
    <col min="17" max="17" width="12.6640625" customWidth="1"/>
    <col min="18" max="18" width="17.109375" customWidth="1"/>
    <col min="19" max="19" width="16.88671875" customWidth="1"/>
    <col min="20" max="21" width="8.6640625" customWidth="1"/>
    <col min="22" max="22" width="42.88671875" customWidth="1"/>
    <col min="23" max="23" width="15.44140625" customWidth="1"/>
    <col min="24" max="24" width="13.44140625" customWidth="1"/>
    <col min="25" max="25" width="8.6640625" customWidth="1"/>
    <col min="26" max="26" width="11.33203125" customWidth="1"/>
    <col min="27" max="27" width="17.109375" customWidth="1"/>
    <col min="28" max="28" width="15.44140625" customWidth="1"/>
    <col min="29" max="33" width="8.6640625" customWidth="1"/>
    <col min="34" max="34" width="16.44140625" customWidth="1"/>
    <col min="35" max="35" width="13.6640625" customWidth="1"/>
    <col min="36" max="36" width="13.33203125" customWidth="1"/>
    <col min="37" max="37" width="11.6640625" customWidth="1"/>
    <col min="38" max="38" width="12" customWidth="1"/>
    <col min="39" max="39" width="13.33203125" customWidth="1"/>
    <col min="40" max="40" width="13.109375" customWidth="1"/>
  </cols>
  <sheetData>
    <row r="1" spans="1:40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96"/>
      <c r="N1" s="23"/>
      <c r="O1" s="23"/>
      <c r="P1" s="23"/>
      <c r="Q1" s="23"/>
      <c r="R1" s="23"/>
      <c r="S1" s="23"/>
      <c r="T1" s="23"/>
      <c r="U1" s="23"/>
      <c r="V1" s="96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15" customHeight="1" x14ac:dyDescent="0.35">
      <c r="A2" s="23"/>
      <c r="B2" s="24" t="s">
        <v>399</v>
      </c>
      <c r="C2" s="23"/>
      <c r="D2" s="189" t="s">
        <v>14</v>
      </c>
      <c r="E2" s="176"/>
      <c r="F2" s="26" t="s">
        <v>39</v>
      </c>
      <c r="G2" s="26" t="s">
        <v>104</v>
      </c>
      <c r="H2" s="23"/>
      <c r="I2" s="23"/>
      <c r="J2" s="23"/>
      <c r="K2" s="23"/>
      <c r="L2" s="23"/>
      <c r="M2" s="96"/>
      <c r="N2" s="23"/>
      <c r="O2" s="23"/>
      <c r="P2" s="23"/>
      <c r="Q2" s="23"/>
      <c r="R2" s="23"/>
      <c r="S2" s="23"/>
      <c r="T2" s="23"/>
      <c r="U2" s="23"/>
      <c r="V2" s="96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15" customHeight="1" x14ac:dyDescent="0.3">
      <c r="A3" s="23"/>
      <c r="B3" s="190" t="s">
        <v>105</v>
      </c>
      <c r="C3" s="26" t="s">
        <v>15</v>
      </c>
      <c r="D3" s="191">
        <v>2.5</v>
      </c>
      <c r="E3" s="176"/>
      <c r="F3" s="23">
        <v>3.3</v>
      </c>
      <c r="G3" s="23">
        <v>2.5</v>
      </c>
      <c r="H3" s="23" t="s">
        <v>106</v>
      </c>
      <c r="I3" s="23"/>
      <c r="J3" s="23"/>
      <c r="K3" s="23"/>
      <c r="L3" s="23"/>
      <c r="M3" s="96"/>
      <c r="N3" s="23"/>
      <c r="O3" s="23"/>
      <c r="P3" s="23"/>
      <c r="Q3" s="23"/>
      <c r="R3" s="23"/>
      <c r="S3" s="23"/>
      <c r="T3" s="23"/>
      <c r="U3" s="23"/>
      <c r="V3" s="96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40" ht="15" customHeight="1" x14ac:dyDescent="0.3">
      <c r="A4" s="23"/>
      <c r="B4" s="176"/>
      <c r="C4" s="26" t="s">
        <v>29</v>
      </c>
      <c r="D4" s="191">
        <v>3</v>
      </c>
      <c r="E4" s="176"/>
      <c r="F4" s="23"/>
      <c r="G4" s="23"/>
      <c r="H4" s="23" t="s">
        <v>106</v>
      </c>
      <c r="I4" s="23"/>
      <c r="J4" s="23"/>
      <c r="K4" s="23"/>
      <c r="L4" s="23"/>
      <c r="M4" s="96"/>
      <c r="N4" s="23"/>
      <c r="O4" s="23"/>
      <c r="P4" s="23"/>
      <c r="Q4" s="23"/>
      <c r="R4" s="23"/>
      <c r="S4" s="23"/>
      <c r="T4" s="23"/>
      <c r="U4" s="23"/>
      <c r="V4" s="96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3"/>
      <c r="J5" s="23"/>
      <c r="K5" s="23"/>
      <c r="L5" s="23"/>
      <c r="M5" s="96"/>
      <c r="N5" s="23"/>
      <c r="O5" s="23"/>
      <c r="P5" s="23"/>
      <c r="Q5" s="23"/>
      <c r="R5" s="23"/>
      <c r="S5" s="23"/>
      <c r="T5" s="23"/>
      <c r="U5" s="23"/>
      <c r="V5" s="96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ht="15" customHeight="1" x14ac:dyDescent="0.3">
      <c r="A6" s="23"/>
      <c r="B6" s="176"/>
      <c r="C6" s="30" t="s">
        <v>111</v>
      </c>
      <c r="D6" s="191">
        <f>36+14</f>
        <v>50</v>
      </c>
      <c r="E6" s="176"/>
      <c r="F6" s="23">
        <v>14</v>
      </c>
      <c r="G6" s="23">
        <v>11</v>
      </c>
      <c r="H6" s="23"/>
      <c r="I6" s="23"/>
      <c r="J6" s="23"/>
      <c r="K6" s="23"/>
      <c r="L6" s="23"/>
      <c r="M6" s="96"/>
      <c r="N6" s="23"/>
      <c r="O6" s="23"/>
      <c r="P6" s="23"/>
      <c r="Q6" s="23"/>
      <c r="R6" s="23"/>
      <c r="S6" s="23"/>
      <c r="T6" s="23"/>
      <c r="U6" s="23"/>
      <c r="V6" s="96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15" customHeight="1" x14ac:dyDescent="0.3">
      <c r="A7" s="23"/>
      <c r="B7" s="176"/>
      <c r="C7" s="30" t="s">
        <v>112</v>
      </c>
      <c r="D7" s="191">
        <f>142+69</f>
        <v>211</v>
      </c>
      <c r="E7" s="176"/>
      <c r="F7" s="23">
        <v>74</v>
      </c>
      <c r="G7" s="23">
        <v>61</v>
      </c>
      <c r="H7" s="23"/>
      <c r="I7" s="23"/>
      <c r="J7" s="23"/>
      <c r="K7" s="23"/>
      <c r="L7" s="23"/>
      <c r="M7" s="96"/>
      <c r="N7" s="23"/>
      <c r="O7" s="23"/>
      <c r="P7" s="23"/>
      <c r="Q7" s="23"/>
      <c r="R7" s="23"/>
      <c r="S7" s="23"/>
      <c r="T7" s="23"/>
      <c r="U7" s="23"/>
      <c r="V7" s="96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15" customHeight="1" x14ac:dyDescent="0.3">
      <c r="A8" s="23"/>
      <c r="B8" s="176"/>
      <c r="C8" s="30" t="s">
        <v>113</v>
      </c>
      <c r="D8" s="191">
        <f>202+142</f>
        <v>344</v>
      </c>
      <c r="E8" s="176"/>
      <c r="F8" s="23">
        <v>87</v>
      </c>
      <c r="G8" s="23">
        <v>52</v>
      </c>
      <c r="H8" s="23"/>
      <c r="I8" s="23"/>
      <c r="J8" s="23"/>
      <c r="K8" s="23"/>
      <c r="L8" s="23"/>
      <c r="M8" s="96"/>
      <c r="N8" s="23"/>
      <c r="O8" s="23"/>
      <c r="P8" s="23"/>
      <c r="Q8" s="23"/>
      <c r="R8" s="23"/>
      <c r="S8" s="23"/>
      <c r="T8" s="23"/>
      <c r="U8" s="23"/>
      <c r="V8" s="96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15" customHeight="1" x14ac:dyDescent="0.3">
      <c r="A9" s="23"/>
      <c r="B9" s="176"/>
      <c r="C9" s="30" t="s">
        <v>114</v>
      </c>
      <c r="D9" s="191">
        <f>111+82</f>
        <v>193</v>
      </c>
      <c r="E9" s="176"/>
      <c r="F9" s="23">
        <v>84</v>
      </c>
      <c r="G9" s="23">
        <v>33</v>
      </c>
      <c r="H9" s="23"/>
      <c r="I9" s="23"/>
      <c r="J9" s="23"/>
      <c r="K9" s="23"/>
      <c r="L9" s="23"/>
      <c r="M9" s="96"/>
      <c r="N9" s="23"/>
      <c r="O9" s="23"/>
      <c r="P9" s="23"/>
      <c r="Q9" s="23"/>
      <c r="R9" s="23"/>
      <c r="S9" s="23"/>
      <c r="T9" s="23"/>
      <c r="U9" s="23"/>
      <c r="V9" s="96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ht="15" customHeight="1" x14ac:dyDescent="0.3">
      <c r="A10" s="23"/>
      <c r="B10" s="176"/>
      <c r="C10" s="30" t="s">
        <v>115</v>
      </c>
      <c r="D10" s="191">
        <f>113+66</f>
        <v>179</v>
      </c>
      <c r="E10" s="176"/>
      <c r="F10" s="23">
        <v>29</v>
      </c>
      <c r="G10" s="23">
        <v>29</v>
      </c>
      <c r="H10" s="23"/>
      <c r="I10" s="23"/>
      <c r="J10" s="23"/>
      <c r="K10" s="23"/>
      <c r="L10" s="23"/>
      <c r="M10" s="96"/>
      <c r="N10" s="23"/>
      <c r="O10" s="23"/>
      <c r="P10" s="23"/>
      <c r="Q10" s="23"/>
      <c r="R10" s="23"/>
      <c r="S10" s="23"/>
      <c r="T10" s="23"/>
      <c r="U10" s="23"/>
      <c r="V10" s="96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15" customHeight="1" x14ac:dyDescent="0.3">
      <c r="A11" s="23"/>
      <c r="B11" s="31"/>
      <c r="C11" s="30" t="s">
        <v>116</v>
      </c>
      <c r="D11" s="23">
        <v>365</v>
      </c>
      <c r="E11" s="23"/>
      <c r="F11" s="23"/>
      <c r="G11" s="23"/>
      <c r="H11" s="23"/>
      <c r="I11" s="23"/>
      <c r="J11" s="23"/>
      <c r="K11" s="23"/>
      <c r="L11" s="23"/>
      <c r="M11" s="96"/>
      <c r="N11" s="23"/>
      <c r="O11" s="23"/>
      <c r="P11" s="23"/>
      <c r="Q11" s="23"/>
      <c r="R11" s="23"/>
      <c r="S11" s="23"/>
      <c r="T11" s="23"/>
      <c r="U11" s="23"/>
      <c r="V11" s="96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96"/>
      <c r="N12" s="23"/>
      <c r="O12" s="23"/>
      <c r="P12" s="23"/>
      <c r="Q12" s="23"/>
      <c r="R12" s="23"/>
      <c r="S12" s="23"/>
      <c r="T12" s="23"/>
      <c r="U12" s="23"/>
      <c r="V12" s="96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14.4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96"/>
      <c r="N13" s="23"/>
      <c r="O13" s="23"/>
      <c r="P13" s="23"/>
      <c r="Q13" s="23"/>
      <c r="R13" s="23"/>
      <c r="S13" s="23"/>
      <c r="T13" s="23"/>
      <c r="U13" s="23"/>
      <c r="V13" s="96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18" x14ac:dyDescent="0.35">
      <c r="A14" s="23"/>
      <c r="B14" s="23"/>
      <c r="C14" s="32" t="s">
        <v>400</v>
      </c>
      <c r="D14" s="69"/>
      <c r="E14" s="69"/>
      <c r="F14" s="69"/>
      <c r="G14" s="69"/>
      <c r="H14" s="184" t="s">
        <v>281</v>
      </c>
      <c r="I14" s="185"/>
      <c r="J14" s="69"/>
      <c r="K14" s="23"/>
      <c r="L14" s="23"/>
      <c r="M14" s="97" t="s">
        <v>400</v>
      </c>
      <c r="N14" s="33"/>
      <c r="O14" s="33"/>
      <c r="P14" s="33"/>
      <c r="Q14" s="33"/>
      <c r="R14" s="33"/>
      <c r="S14" s="33"/>
      <c r="T14" s="23"/>
      <c r="U14" s="23"/>
      <c r="V14" s="97" t="s">
        <v>400</v>
      </c>
      <c r="W14" s="33"/>
      <c r="X14" s="33"/>
      <c r="Y14" s="33"/>
      <c r="Z14" s="33"/>
      <c r="AA14" s="33"/>
      <c r="AB14" s="33"/>
      <c r="AC14" s="23"/>
      <c r="AD14" s="23"/>
      <c r="AE14" s="23"/>
      <c r="AF14" s="23"/>
      <c r="AG14" s="23"/>
      <c r="AH14" s="26" t="s">
        <v>346</v>
      </c>
      <c r="AI14" s="23"/>
      <c r="AJ14" s="23"/>
      <c r="AK14" s="23"/>
      <c r="AL14" s="23"/>
      <c r="AM14" s="23"/>
      <c r="AN14" s="23"/>
    </row>
    <row r="15" spans="1:40" ht="81" customHeight="1" x14ac:dyDescent="0.35">
      <c r="A15" s="23"/>
      <c r="B15" s="23"/>
      <c r="C15" s="37" t="s">
        <v>176</v>
      </c>
      <c r="D15" s="38" t="s">
        <v>122</v>
      </c>
      <c r="E15" s="38" t="s">
        <v>129</v>
      </c>
      <c r="F15" s="38" t="s">
        <v>130</v>
      </c>
      <c r="G15" s="38" t="s">
        <v>131</v>
      </c>
      <c r="H15" s="39" t="s">
        <v>126</v>
      </c>
      <c r="I15" s="40" t="s">
        <v>127</v>
      </c>
      <c r="J15" s="103"/>
      <c r="K15" s="23"/>
      <c r="L15" s="23"/>
      <c r="M15" s="43" t="s">
        <v>177</v>
      </c>
      <c r="N15" s="38" t="s">
        <v>122</v>
      </c>
      <c r="O15" s="38" t="s">
        <v>129</v>
      </c>
      <c r="P15" s="38" t="s">
        <v>130</v>
      </c>
      <c r="Q15" s="38" t="s">
        <v>131</v>
      </c>
      <c r="R15" s="39" t="s">
        <v>126</v>
      </c>
      <c r="S15" s="40" t="s">
        <v>127</v>
      </c>
      <c r="T15" s="23"/>
      <c r="U15" s="23"/>
      <c r="V15" s="43" t="s">
        <v>178</v>
      </c>
      <c r="W15" s="38" t="s">
        <v>122</v>
      </c>
      <c r="X15" s="38" t="s">
        <v>129</v>
      </c>
      <c r="Y15" s="38" t="s">
        <v>130</v>
      </c>
      <c r="Z15" s="38" t="s">
        <v>131</v>
      </c>
      <c r="AA15" s="39" t="s">
        <v>126</v>
      </c>
      <c r="AB15" s="40" t="s">
        <v>127</v>
      </c>
      <c r="AC15" s="23"/>
      <c r="AD15" s="23"/>
      <c r="AE15" s="23"/>
      <c r="AF15" s="23"/>
      <c r="AG15" s="23"/>
      <c r="AH15" s="44"/>
      <c r="AI15" s="99" t="s">
        <v>179</v>
      </c>
      <c r="AJ15" s="100" t="s">
        <v>180</v>
      </c>
      <c r="AK15" s="100" t="s">
        <v>113</v>
      </c>
      <c r="AL15" s="100" t="s">
        <v>114</v>
      </c>
      <c r="AM15" s="100" t="s">
        <v>115</v>
      </c>
      <c r="AN15" s="29" t="s">
        <v>213</v>
      </c>
    </row>
    <row r="16" spans="1:40" ht="19.5" customHeight="1" x14ac:dyDescent="0.35">
      <c r="A16" s="23"/>
      <c r="B16" s="23"/>
      <c r="C16" s="104" t="s">
        <v>133</v>
      </c>
      <c r="D16" s="105">
        <v>0</v>
      </c>
      <c r="E16" s="105">
        <v>0</v>
      </c>
      <c r="F16" s="106" t="s">
        <v>401</v>
      </c>
      <c r="G16" s="107"/>
      <c r="H16" s="202">
        <f>D6*D3*'Vehicle Infos'!K10</f>
        <v>397.5</v>
      </c>
      <c r="I16" s="104">
        <f>$D$6*E16*'Vehicle Infos'!$L$10</f>
        <v>0</v>
      </c>
      <c r="J16" s="104"/>
      <c r="K16" s="23"/>
      <c r="L16" s="23"/>
      <c r="M16" s="101" t="s">
        <v>135</v>
      </c>
      <c r="N16" s="48">
        <v>0</v>
      </c>
      <c r="O16" s="47">
        <v>0</v>
      </c>
      <c r="P16" s="46" t="s">
        <v>134</v>
      </c>
      <c r="Q16" s="107">
        <v>0</v>
      </c>
      <c r="R16" s="202">
        <f>F6*F3*'Vehicle Infos'!K21</f>
        <v>146.43089999999998</v>
      </c>
      <c r="S16" s="108">
        <f>$F$6*O16*'Vehicle Infos'!$L$21</f>
        <v>0</v>
      </c>
      <c r="T16" s="23"/>
      <c r="U16" s="23"/>
      <c r="V16" s="101" t="s">
        <v>136</v>
      </c>
      <c r="W16" s="48">
        <v>0</v>
      </c>
      <c r="X16" s="47">
        <v>0</v>
      </c>
      <c r="Y16" s="46" t="s">
        <v>134</v>
      </c>
      <c r="Z16" s="107">
        <v>0</v>
      </c>
      <c r="AA16" s="202">
        <f>G6*G3*'Vehicle Infos'!K29</f>
        <v>87.11999999999999</v>
      </c>
      <c r="AB16" s="108">
        <f>$G$6*X16*'Vehicle Infos'!$L$29</f>
        <v>0</v>
      </c>
      <c r="AC16" s="23"/>
      <c r="AD16" s="23"/>
      <c r="AE16" s="23"/>
      <c r="AF16" s="23"/>
      <c r="AG16" s="23"/>
      <c r="AH16" s="44" t="s">
        <v>196</v>
      </c>
      <c r="AI16" s="89">
        <f>SUM(H16:H25)*D11</f>
        <v>145087.5</v>
      </c>
      <c r="AJ16" s="81">
        <f>SUM(H31:H40)*D11</f>
        <v>612269.25</v>
      </c>
      <c r="AK16" s="81">
        <f>SUM(H46:H55)*D11</f>
        <v>998202.00000000012</v>
      </c>
      <c r="AL16" s="81">
        <f>SUM(H61:H70)*D11</f>
        <v>560037.75</v>
      </c>
      <c r="AM16" s="81">
        <f>SUM(H76:H85)*D11</f>
        <v>519413.25000000006</v>
      </c>
      <c r="AN16" s="81">
        <f>SUM(AI16:AM16)</f>
        <v>2835009.75</v>
      </c>
    </row>
    <row r="17" spans="1:40" ht="19.5" customHeight="1" x14ac:dyDescent="0.35">
      <c r="A17" s="23"/>
      <c r="B17" s="23"/>
      <c r="C17" s="104" t="s">
        <v>137</v>
      </c>
      <c r="D17" s="105">
        <v>7.5</v>
      </c>
      <c r="E17" s="105">
        <v>7.5</v>
      </c>
      <c r="F17" s="106" t="s">
        <v>138</v>
      </c>
      <c r="G17" s="107">
        <v>7</v>
      </c>
      <c r="H17" s="181"/>
      <c r="I17" s="104">
        <f>$D$6*E17*'Vehicle Infos'!$L$10</f>
        <v>96.566500000000005</v>
      </c>
      <c r="J17" s="109"/>
      <c r="K17" s="23"/>
      <c r="L17" s="23"/>
      <c r="M17" s="101" t="s">
        <v>139</v>
      </c>
      <c r="N17" s="48">
        <v>1</v>
      </c>
      <c r="O17" s="47">
        <v>1</v>
      </c>
      <c r="P17" s="46" t="s">
        <v>140</v>
      </c>
      <c r="Q17" s="47">
        <v>2</v>
      </c>
      <c r="R17" s="181"/>
      <c r="S17" s="108">
        <f>$F$6*O17*'Vehicle Infos'!$L$21</f>
        <v>2.5454359999999996</v>
      </c>
      <c r="T17" s="23"/>
      <c r="U17" s="23"/>
      <c r="V17" s="101" t="s">
        <v>141</v>
      </c>
      <c r="W17" s="48">
        <v>3</v>
      </c>
      <c r="X17" s="51">
        <v>3</v>
      </c>
      <c r="Y17" s="46" t="s">
        <v>142</v>
      </c>
      <c r="Z17" s="47">
        <v>5</v>
      </c>
      <c r="AA17" s="181"/>
      <c r="AB17" s="108">
        <f>$G$6*X17*'Vehicle Infos'!$L$29</f>
        <v>5.5139755000000008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ht="19.5" customHeight="1" x14ac:dyDescent="0.35">
      <c r="A18" s="23"/>
      <c r="B18" s="23"/>
      <c r="C18" s="104" t="s">
        <v>143</v>
      </c>
      <c r="D18" s="105">
        <v>8</v>
      </c>
      <c r="E18" s="105">
        <v>0.5</v>
      </c>
      <c r="F18" s="106" t="s">
        <v>402</v>
      </c>
      <c r="G18" s="107">
        <v>2</v>
      </c>
      <c r="H18" s="181"/>
      <c r="I18" s="104">
        <f>$D$6*E18*'Vehicle Infos'!$L$10</f>
        <v>6.4377666666666666</v>
      </c>
      <c r="J18" s="109"/>
      <c r="K18" s="23"/>
      <c r="L18" s="23"/>
      <c r="M18" s="101" t="s">
        <v>145</v>
      </c>
      <c r="N18" s="48">
        <v>2.5</v>
      </c>
      <c r="O18" s="51">
        <v>1.5</v>
      </c>
      <c r="P18" s="46" t="s">
        <v>138</v>
      </c>
      <c r="Q18" s="47">
        <v>5</v>
      </c>
      <c r="R18" s="181"/>
      <c r="S18" s="108">
        <f>$F$6*O18*'Vehicle Infos'!$L$21</f>
        <v>3.8181539999999994</v>
      </c>
      <c r="T18" s="23"/>
      <c r="U18" s="23"/>
      <c r="V18" s="101" t="s">
        <v>146</v>
      </c>
      <c r="W18" s="48">
        <v>5.5</v>
      </c>
      <c r="X18" s="51">
        <v>2.5</v>
      </c>
      <c r="Y18" s="46" t="s">
        <v>347</v>
      </c>
      <c r="Z18" s="47">
        <v>6</v>
      </c>
      <c r="AA18" s="181"/>
      <c r="AB18" s="108">
        <f>$G$6*X18*'Vehicle Infos'!$L$29</f>
        <v>4.594979583333334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19.5" customHeight="1" x14ac:dyDescent="0.35">
      <c r="A19" s="23"/>
      <c r="B19" s="23"/>
      <c r="C19" s="104" t="s">
        <v>148</v>
      </c>
      <c r="D19" s="105">
        <v>9</v>
      </c>
      <c r="E19" s="105">
        <v>1</v>
      </c>
      <c r="F19" s="106" t="s">
        <v>149</v>
      </c>
      <c r="G19" s="107">
        <v>5</v>
      </c>
      <c r="H19" s="181"/>
      <c r="I19" s="104">
        <f>$D$6*E19*'Vehicle Infos'!$L$10</f>
        <v>12.875533333333333</v>
      </c>
      <c r="J19" s="109"/>
      <c r="K19" s="23"/>
      <c r="L19" s="23"/>
      <c r="M19" s="101" t="s">
        <v>150</v>
      </c>
      <c r="N19" s="48">
        <v>9</v>
      </c>
      <c r="O19" s="51">
        <v>6.5</v>
      </c>
      <c r="P19" s="46" t="s">
        <v>348</v>
      </c>
      <c r="Q19" s="47">
        <v>9</v>
      </c>
      <c r="R19" s="181"/>
      <c r="S19" s="108">
        <f>$F$6*O19*'Vehicle Infos'!$L$21</f>
        <v>16.545333999999997</v>
      </c>
      <c r="T19" s="23"/>
      <c r="U19" s="23"/>
      <c r="V19" s="101" t="s">
        <v>151</v>
      </c>
      <c r="W19" s="48">
        <v>7.5</v>
      </c>
      <c r="X19" s="51">
        <v>2</v>
      </c>
      <c r="Y19" s="46" t="s">
        <v>152</v>
      </c>
      <c r="Z19" s="47">
        <v>8</v>
      </c>
      <c r="AA19" s="181"/>
      <c r="AB19" s="108">
        <f>$G$6*X19*'Vehicle Infos'!$L$29</f>
        <v>3.6759836666666668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ht="19.5" customHeight="1" x14ac:dyDescent="0.35">
      <c r="A20" s="23"/>
      <c r="B20" s="23"/>
      <c r="C20" s="104" t="s">
        <v>153</v>
      </c>
      <c r="D20" s="105">
        <v>10</v>
      </c>
      <c r="E20" s="105">
        <v>1</v>
      </c>
      <c r="F20" s="106" t="s">
        <v>285</v>
      </c>
      <c r="G20" s="107">
        <v>3</v>
      </c>
      <c r="H20" s="181"/>
      <c r="I20" s="104">
        <f>$D$6*E20*'Vehicle Infos'!$L$10</f>
        <v>12.875533333333333</v>
      </c>
      <c r="J20" s="109"/>
      <c r="K20" s="23"/>
      <c r="L20" s="23"/>
      <c r="M20" s="101" t="s">
        <v>155</v>
      </c>
      <c r="N20" s="48">
        <v>12</v>
      </c>
      <c r="O20" s="51">
        <v>3</v>
      </c>
      <c r="P20" s="46" t="s">
        <v>349</v>
      </c>
      <c r="Q20" s="47">
        <v>4</v>
      </c>
      <c r="R20" s="181"/>
      <c r="S20" s="108">
        <f>$F$6*O20*'Vehicle Infos'!$L$21</f>
        <v>7.6363079999999988</v>
      </c>
      <c r="T20" s="23"/>
      <c r="U20" s="23"/>
      <c r="V20" s="101" t="s">
        <v>156</v>
      </c>
      <c r="W20" s="48">
        <v>12</v>
      </c>
      <c r="X20" s="51">
        <v>4.5</v>
      </c>
      <c r="Y20" s="46" t="s">
        <v>352</v>
      </c>
      <c r="Z20" s="47">
        <v>14</v>
      </c>
      <c r="AA20" s="193"/>
      <c r="AB20" s="108">
        <f>$G$6*X20*'Vehicle Infos'!$L$29</f>
        <v>8.2709632500000012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19.5" customHeight="1" x14ac:dyDescent="0.35">
      <c r="A21" s="23"/>
      <c r="B21" s="23"/>
      <c r="C21" s="104" t="s">
        <v>158</v>
      </c>
      <c r="D21" s="105">
        <v>11</v>
      </c>
      <c r="E21" s="105">
        <v>1</v>
      </c>
      <c r="F21" s="106" t="s">
        <v>195</v>
      </c>
      <c r="G21" s="107">
        <v>9</v>
      </c>
      <c r="H21" s="181"/>
      <c r="I21" s="104">
        <f>$D$6*E21*'Vehicle Infos'!$L$10</f>
        <v>12.875533333333333</v>
      </c>
      <c r="J21" s="109"/>
      <c r="K21" s="23"/>
      <c r="L21" s="23"/>
      <c r="M21" s="101" t="s">
        <v>160</v>
      </c>
      <c r="N21" s="48">
        <v>15.5</v>
      </c>
      <c r="O21" s="51">
        <v>3.5</v>
      </c>
      <c r="P21" s="46" t="s">
        <v>288</v>
      </c>
      <c r="Q21" s="91">
        <v>5</v>
      </c>
      <c r="R21" s="181"/>
      <c r="S21" s="108">
        <f>$F$6*O21*'Vehicle Infos'!$L$21</f>
        <v>8.909025999999999</v>
      </c>
      <c r="T21" s="23"/>
      <c r="U21" s="23"/>
      <c r="V21" s="102" t="s">
        <v>162</v>
      </c>
      <c r="W21" s="48"/>
      <c r="X21" s="51">
        <f>SUM(X17:X20)</f>
        <v>12</v>
      </c>
      <c r="Y21" s="46"/>
      <c r="Z21" s="92">
        <f>SUM(Z16:Z20)</f>
        <v>33</v>
      </c>
      <c r="AA21" s="109"/>
      <c r="AB21" s="108">
        <f>$G$6*X21*'Vehicle Infos'!$L$29</f>
        <v>22.055902000000003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ht="19.5" customHeight="1" x14ac:dyDescent="0.35">
      <c r="A22" s="23"/>
      <c r="B22" s="23"/>
      <c r="C22" s="104" t="s">
        <v>163</v>
      </c>
      <c r="D22" s="105">
        <v>12</v>
      </c>
      <c r="E22" s="105">
        <v>1</v>
      </c>
      <c r="F22" s="106" t="s">
        <v>298</v>
      </c>
      <c r="G22" s="107">
        <v>2</v>
      </c>
      <c r="H22" s="181"/>
      <c r="I22" s="104">
        <f>$D$6*E22*'Vehicle Infos'!$L$10</f>
        <v>12.875533333333333</v>
      </c>
      <c r="J22" s="109"/>
      <c r="K22" s="23"/>
      <c r="L22" s="23"/>
      <c r="M22" s="101" t="s">
        <v>165</v>
      </c>
      <c r="N22" s="48">
        <v>18.5</v>
      </c>
      <c r="O22" s="51">
        <v>3</v>
      </c>
      <c r="P22" s="46" t="s">
        <v>166</v>
      </c>
      <c r="Q22" s="47">
        <v>5</v>
      </c>
      <c r="R22" s="193"/>
      <c r="S22" s="108">
        <f>$F$6*O22*'Vehicle Infos'!$L$21</f>
        <v>7.6363079999999988</v>
      </c>
      <c r="T22" s="23"/>
      <c r="U22" s="23"/>
      <c r="V22" s="101"/>
      <c r="W22" s="48"/>
      <c r="X22" s="51"/>
      <c r="Y22" s="46"/>
      <c r="Z22" s="47"/>
      <c r="AA22" s="109"/>
      <c r="AB22" s="108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19.5" customHeight="1" x14ac:dyDescent="0.35">
      <c r="A23" s="23"/>
      <c r="B23" s="23"/>
      <c r="C23" s="104" t="s">
        <v>167</v>
      </c>
      <c r="D23" s="105">
        <v>14</v>
      </c>
      <c r="E23" s="105">
        <v>2</v>
      </c>
      <c r="F23" s="106" t="s">
        <v>403</v>
      </c>
      <c r="G23" s="107">
        <v>6</v>
      </c>
      <c r="H23" s="181"/>
      <c r="I23" s="104">
        <f>$D$6*E23*'Vehicle Infos'!$L$10</f>
        <v>25.751066666666667</v>
      </c>
      <c r="J23" s="109"/>
      <c r="K23" s="23"/>
      <c r="L23" s="23"/>
      <c r="M23" s="102" t="s">
        <v>162</v>
      </c>
      <c r="N23" s="49"/>
      <c r="O23" s="45">
        <f>SUM(O16:O22)</f>
        <v>18.5</v>
      </c>
      <c r="P23" s="58"/>
      <c r="Q23" s="110">
        <f>SUM(Q17:Q22)</f>
        <v>30</v>
      </c>
      <c r="R23" s="109"/>
      <c r="S23" s="108">
        <f>$F$6*O23*'Vehicle Infos'!$L$21</f>
        <v>47.090565999999995</v>
      </c>
      <c r="T23" s="23"/>
      <c r="U23" s="23"/>
      <c r="V23" s="96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19.5" customHeight="1" x14ac:dyDescent="0.3">
      <c r="A24" s="23"/>
      <c r="B24" s="23"/>
      <c r="C24" s="104" t="s">
        <v>169</v>
      </c>
      <c r="D24" s="105">
        <v>14.5</v>
      </c>
      <c r="E24" s="105">
        <v>0.5</v>
      </c>
      <c r="F24" s="106" t="s">
        <v>404</v>
      </c>
      <c r="G24" s="107">
        <v>1</v>
      </c>
      <c r="H24" s="181"/>
      <c r="I24" s="104">
        <f>$D$6*E24*'Vehicle Infos'!$L$10</f>
        <v>6.4377666666666666</v>
      </c>
      <c r="J24" s="109"/>
      <c r="K24" s="23"/>
      <c r="L24" s="23"/>
      <c r="M24" s="96"/>
      <c r="N24" s="23"/>
      <c r="O24" s="23"/>
      <c r="P24" s="23"/>
      <c r="Q24" s="23"/>
      <c r="R24" s="23"/>
      <c r="S24" s="23"/>
      <c r="T24" s="23"/>
      <c r="U24" s="23"/>
      <c r="V24" s="96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19.5" customHeight="1" x14ac:dyDescent="0.3">
      <c r="A25" s="23"/>
      <c r="B25" s="23"/>
      <c r="C25" s="104" t="s">
        <v>171</v>
      </c>
      <c r="D25" s="105">
        <v>15</v>
      </c>
      <c r="E25" s="105">
        <v>0.5</v>
      </c>
      <c r="F25" s="106" t="s">
        <v>405</v>
      </c>
      <c r="G25" s="107">
        <v>1</v>
      </c>
      <c r="H25" s="193"/>
      <c r="I25" s="104">
        <f>$D$6*E25*'Vehicle Infos'!$L$10</f>
        <v>6.4377666666666666</v>
      </c>
      <c r="J25" s="109"/>
      <c r="K25" s="23"/>
      <c r="L25" s="23"/>
      <c r="M25" s="96"/>
      <c r="N25" s="23"/>
      <c r="O25" s="23"/>
      <c r="P25" s="23"/>
      <c r="Q25" s="23"/>
      <c r="R25" s="23"/>
      <c r="S25" s="23"/>
      <c r="T25" s="23"/>
      <c r="U25" s="23"/>
      <c r="V25" s="96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 ht="19.5" customHeight="1" x14ac:dyDescent="0.3">
      <c r="A26" s="23"/>
      <c r="B26" s="23"/>
      <c r="C26" s="70" t="s">
        <v>162</v>
      </c>
      <c r="D26" s="108"/>
      <c r="E26" s="105">
        <v>15</v>
      </c>
      <c r="F26" s="111"/>
      <c r="G26" s="110">
        <f>SUM(G17:G25)</f>
        <v>36</v>
      </c>
      <c r="H26" s="107"/>
      <c r="I26" s="104">
        <f>$D$6*E26*'Vehicle Infos'!$L$10</f>
        <v>193.13300000000001</v>
      </c>
      <c r="J26" s="112"/>
      <c r="K26" s="23"/>
      <c r="L26" s="23"/>
      <c r="M26" s="96"/>
      <c r="N26" s="23"/>
      <c r="O26" s="23"/>
      <c r="P26" s="23"/>
      <c r="Q26" s="23"/>
      <c r="R26" s="23"/>
      <c r="S26" s="23"/>
      <c r="T26" s="23"/>
      <c r="U26" s="23"/>
      <c r="V26" s="96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14.4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96"/>
      <c r="N27" s="23"/>
      <c r="O27" s="23"/>
      <c r="P27" s="23"/>
      <c r="Q27" s="23"/>
      <c r="R27" s="23"/>
      <c r="S27" s="23"/>
      <c r="T27" s="23"/>
      <c r="U27" s="23"/>
      <c r="V27" s="96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 spans="1:40" ht="14.4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96"/>
      <c r="N28" s="23"/>
      <c r="O28" s="23"/>
      <c r="P28" s="23"/>
      <c r="Q28" s="23"/>
      <c r="R28" s="23"/>
      <c r="S28" s="23"/>
      <c r="T28" s="23"/>
      <c r="U28" s="23"/>
      <c r="V28" s="96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18" x14ac:dyDescent="0.35">
      <c r="A29" s="23"/>
      <c r="B29" s="23"/>
      <c r="C29" s="32" t="s">
        <v>406</v>
      </c>
      <c r="D29" s="69"/>
      <c r="E29" s="69"/>
      <c r="F29" s="69"/>
      <c r="G29" s="69"/>
      <c r="H29" s="69"/>
      <c r="I29" s="69"/>
      <c r="J29" s="69"/>
      <c r="K29" s="23"/>
      <c r="L29" s="23"/>
      <c r="M29" s="97" t="s">
        <v>406</v>
      </c>
      <c r="N29" s="33"/>
      <c r="O29" s="33"/>
      <c r="P29" s="33"/>
      <c r="Q29" s="33"/>
      <c r="R29" s="33"/>
      <c r="S29" s="33"/>
      <c r="T29" s="23"/>
      <c r="U29" s="23"/>
      <c r="V29" s="97" t="s">
        <v>406</v>
      </c>
      <c r="W29" s="33"/>
      <c r="X29" s="33"/>
      <c r="Y29" s="33"/>
      <c r="Z29" s="33"/>
      <c r="AA29" s="33"/>
      <c r="AB29" s="3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ht="81" customHeight="1" x14ac:dyDescent="0.3">
      <c r="A30" s="23"/>
      <c r="B30" s="23"/>
      <c r="C30" s="37" t="s">
        <v>176</v>
      </c>
      <c r="D30" s="38" t="s">
        <v>122</v>
      </c>
      <c r="E30" s="38" t="s">
        <v>129</v>
      </c>
      <c r="F30" s="38" t="s">
        <v>130</v>
      </c>
      <c r="G30" s="38" t="s">
        <v>131</v>
      </c>
      <c r="H30" s="39" t="s">
        <v>126</v>
      </c>
      <c r="I30" s="40" t="s">
        <v>127</v>
      </c>
      <c r="J30" s="103"/>
      <c r="K30" s="23"/>
      <c r="L30" s="23"/>
      <c r="M30" s="43" t="s">
        <v>177</v>
      </c>
      <c r="N30" s="38" t="s">
        <v>122</v>
      </c>
      <c r="O30" s="38" t="s">
        <v>129</v>
      </c>
      <c r="P30" s="38" t="s">
        <v>130</v>
      </c>
      <c r="Q30" s="38" t="s">
        <v>131</v>
      </c>
      <c r="R30" s="39" t="s">
        <v>126</v>
      </c>
      <c r="S30" s="40" t="s">
        <v>127</v>
      </c>
      <c r="T30" s="23"/>
      <c r="U30" s="23"/>
      <c r="V30" s="43" t="s">
        <v>178</v>
      </c>
      <c r="W30" s="38" t="s">
        <v>122</v>
      </c>
      <c r="X30" s="38" t="s">
        <v>129</v>
      </c>
      <c r="Y30" s="38" t="s">
        <v>130</v>
      </c>
      <c r="Z30" s="38" t="s">
        <v>131</v>
      </c>
      <c r="AA30" s="39" t="s">
        <v>126</v>
      </c>
      <c r="AB30" s="40" t="s">
        <v>127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19.5" customHeight="1" x14ac:dyDescent="0.35">
      <c r="A31" s="23"/>
      <c r="B31" s="23"/>
      <c r="C31" s="104" t="s">
        <v>133</v>
      </c>
      <c r="D31" s="105">
        <v>0</v>
      </c>
      <c r="E31" s="105">
        <v>0</v>
      </c>
      <c r="F31" s="106" t="s">
        <v>181</v>
      </c>
      <c r="G31" s="107"/>
      <c r="H31" s="202">
        <f>D7*D3*'Vehicle Infos'!K10</f>
        <v>1677.45</v>
      </c>
      <c r="I31" s="104">
        <f>$D$7*E31*'Vehicle Infos'!$L$10</f>
        <v>0</v>
      </c>
      <c r="J31" s="104"/>
      <c r="K31" s="23"/>
      <c r="L31" s="23"/>
      <c r="M31" s="101" t="s">
        <v>135</v>
      </c>
      <c r="N31" s="48">
        <v>0</v>
      </c>
      <c r="O31" s="47">
        <v>0</v>
      </c>
      <c r="P31" s="46" t="s">
        <v>183</v>
      </c>
      <c r="Q31" s="107">
        <v>0</v>
      </c>
      <c r="R31" s="202">
        <f>F7*F3*'Vehicle Infos'!K21</f>
        <v>773.99189999999987</v>
      </c>
      <c r="S31" s="108">
        <f>$F$7*O31*'Vehicle Infos'!$L$21</f>
        <v>0</v>
      </c>
      <c r="T31" s="23"/>
      <c r="U31" s="23"/>
      <c r="V31" s="101" t="s">
        <v>136</v>
      </c>
      <c r="W31" s="48">
        <v>0</v>
      </c>
      <c r="X31" s="47">
        <v>0</v>
      </c>
      <c r="Y31" s="46" t="s">
        <v>183</v>
      </c>
      <c r="Z31" s="47">
        <v>0</v>
      </c>
      <c r="AA31" s="202">
        <f>G7*G3*'Vehicle Infos'!K29</f>
        <v>483.11999999999995</v>
      </c>
      <c r="AB31" s="108">
        <f>$G$7*X31*'Vehicle Infos'!$L$29</f>
        <v>0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 spans="1:40" ht="19.5" customHeight="1" x14ac:dyDescent="0.35">
      <c r="A32" s="23"/>
      <c r="B32" s="23"/>
      <c r="C32" s="104" t="s">
        <v>137</v>
      </c>
      <c r="D32" s="105">
        <v>7.5</v>
      </c>
      <c r="E32" s="105">
        <v>7.5</v>
      </c>
      <c r="F32" s="106" t="s">
        <v>185</v>
      </c>
      <c r="G32" s="107">
        <v>7</v>
      </c>
      <c r="H32" s="181"/>
      <c r="I32" s="104">
        <f>$D$7*E32*'Vehicle Infos'!$L$10</f>
        <v>407.51062999999999</v>
      </c>
      <c r="J32" s="109"/>
      <c r="K32" s="23"/>
      <c r="L32" s="23"/>
      <c r="M32" s="101" t="s">
        <v>139</v>
      </c>
      <c r="N32" s="48">
        <v>1</v>
      </c>
      <c r="O32" s="47">
        <v>1</v>
      </c>
      <c r="P32" s="46" t="s">
        <v>355</v>
      </c>
      <c r="Q32" s="107">
        <v>2</v>
      </c>
      <c r="R32" s="181"/>
      <c r="S32" s="108">
        <f>$F$7*O32*'Vehicle Infos'!$L$21</f>
        <v>13.454447428571427</v>
      </c>
      <c r="T32" s="23"/>
      <c r="U32" s="23"/>
      <c r="V32" s="101" t="s">
        <v>141</v>
      </c>
      <c r="W32" s="48">
        <v>3</v>
      </c>
      <c r="X32" s="51">
        <v>3</v>
      </c>
      <c r="Y32" s="46" t="s">
        <v>356</v>
      </c>
      <c r="Z32" s="47">
        <v>5</v>
      </c>
      <c r="AA32" s="181"/>
      <c r="AB32" s="108">
        <f>$G$7*X32*'Vehicle Infos'!$L$29</f>
        <v>30.577500500000003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19.5" customHeight="1" x14ac:dyDescent="0.35">
      <c r="A33" s="23"/>
      <c r="B33" s="23"/>
      <c r="C33" s="104" t="s">
        <v>143</v>
      </c>
      <c r="D33" s="105">
        <v>8</v>
      </c>
      <c r="E33" s="105">
        <v>0.5</v>
      </c>
      <c r="F33" s="106" t="s">
        <v>407</v>
      </c>
      <c r="G33" s="107">
        <v>6</v>
      </c>
      <c r="H33" s="181"/>
      <c r="I33" s="104">
        <f>$D$7*E33*'Vehicle Infos'!$L$10</f>
        <v>27.167375333333332</v>
      </c>
      <c r="J33" s="109"/>
      <c r="K33" s="23"/>
      <c r="L33" s="23"/>
      <c r="M33" s="101" t="s">
        <v>145</v>
      </c>
      <c r="N33" s="48">
        <v>2.5</v>
      </c>
      <c r="O33" s="51">
        <v>1.5</v>
      </c>
      <c r="P33" s="46" t="s">
        <v>408</v>
      </c>
      <c r="Q33" s="107">
        <v>5</v>
      </c>
      <c r="R33" s="181"/>
      <c r="S33" s="108">
        <f>$F$7*O33*'Vehicle Infos'!$L$21</f>
        <v>20.181671142857141</v>
      </c>
      <c r="T33" s="23"/>
      <c r="U33" s="23"/>
      <c r="V33" s="101" t="s">
        <v>146</v>
      </c>
      <c r="W33" s="48">
        <v>5.5</v>
      </c>
      <c r="X33" s="51">
        <v>2.5</v>
      </c>
      <c r="Y33" s="46" t="s">
        <v>358</v>
      </c>
      <c r="Z33" s="47">
        <v>8</v>
      </c>
      <c r="AA33" s="181"/>
      <c r="AB33" s="108">
        <f>$G$7*X33*'Vehicle Infos'!$L$29</f>
        <v>25.481250416666668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 spans="1:40" ht="19.5" customHeight="1" x14ac:dyDescent="0.35">
      <c r="A34" s="23"/>
      <c r="B34" s="23"/>
      <c r="C34" s="104" t="s">
        <v>148</v>
      </c>
      <c r="D34" s="105">
        <v>9</v>
      </c>
      <c r="E34" s="105">
        <v>1</v>
      </c>
      <c r="F34" s="106" t="s">
        <v>409</v>
      </c>
      <c r="G34" s="107">
        <v>6</v>
      </c>
      <c r="H34" s="181"/>
      <c r="I34" s="104">
        <f>$D$7*E34*'Vehicle Infos'!$L$10</f>
        <v>54.334750666666665</v>
      </c>
      <c r="J34" s="109"/>
      <c r="K34" s="23"/>
      <c r="L34" s="23"/>
      <c r="M34" s="101" t="s">
        <v>150</v>
      </c>
      <c r="N34" s="48">
        <v>9</v>
      </c>
      <c r="O34" s="51">
        <v>6.5</v>
      </c>
      <c r="P34" s="46" t="s">
        <v>294</v>
      </c>
      <c r="Q34" s="107">
        <v>10</v>
      </c>
      <c r="R34" s="181"/>
      <c r="S34" s="108">
        <f>$F$7*O34*'Vehicle Infos'!$L$21</f>
        <v>87.453908285714277</v>
      </c>
      <c r="T34" s="23"/>
      <c r="U34" s="23"/>
      <c r="V34" s="101" t="s">
        <v>151</v>
      </c>
      <c r="W34" s="48">
        <v>7.5</v>
      </c>
      <c r="X34" s="51">
        <v>2</v>
      </c>
      <c r="Y34" s="46" t="s">
        <v>359</v>
      </c>
      <c r="Z34" s="47">
        <v>11</v>
      </c>
      <c r="AA34" s="181"/>
      <c r="AB34" s="108">
        <f>$G$7*X34*'Vehicle Infos'!$L$29</f>
        <v>20.385000333333334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19.5" customHeight="1" x14ac:dyDescent="0.35">
      <c r="A35" s="23"/>
      <c r="B35" s="23"/>
      <c r="C35" s="104" t="s">
        <v>153</v>
      </c>
      <c r="D35" s="105">
        <v>10</v>
      </c>
      <c r="E35" s="105">
        <v>1</v>
      </c>
      <c r="F35" s="106" t="s">
        <v>301</v>
      </c>
      <c r="G35" s="107">
        <v>16</v>
      </c>
      <c r="H35" s="181"/>
      <c r="I35" s="104">
        <f>$D$7*E35*'Vehicle Infos'!$L$10</f>
        <v>54.334750666666665</v>
      </c>
      <c r="J35" s="109"/>
      <c r="K35" s="23"/>
      <c r="L35" s="23"/>
      <c r="M35" s="101" t="s">
        <v>155</v>
      </c>
      <c r="N35" s="48">
        <v>12</v>
      </c>
      <c r="O35" s="51">
        <v>3</v>
      </c>
      <c r="P35" s="46" t="s">
        <v>360</v>
      </c>
      <c r="Q35" s="107">
        <v>6</v>
      </c>
      <c r="R35" s="181"/>
      <c r="S35" s="108">
        <f>$F$7*O35*'Vehicle Infos'!$L$21</f>
        <v>40.363342285714282</v>
      </c>
      <c r="T35" s="23"/>
      <c r="U35" s="23"/>
      <c r="V35" s="101" t="s">
        <v>156</v>
      </c>
      <c r="W35" s="48">
        <v>12</v>
      </c>
      <c r="X35" s="51">
        <v>4.5</v>
      </c>
      <c r="Y35" s="46" t="s">
        <v>409</v>
      </c>
      <c r="Z35" s="47">
        <v>25</v>
      </c>
      <c r="AA35" s="193"/>
      <c r="AB35" s="108">
        <f>$G$7*X35*'Vehicle Infos'!$L$29</f>
        <v>45.866250750000006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19.5" customHeight="1" x14ac:dyDescent="0.35">
      <c r="A36" s="23"/>
      <c r="B36" s="23"/>
      <c r="C36" s="104" t="s">
        <v>158</v>
      </c>
      <c r="D36" s="105">
        <v>11</v>
      </c>
      <c r="E36" s="105">
        <v>1</v>
      </c>
      <c r="F36" s="106" t="s">
        <v>362</v>
      </c>
      <c r="G36" s="107">
        <v>3</v>
      </c>
      <c r="H36" s="181"/>
      <c r="I36" s="104">
        <f>$D$7*E36*'Vehicle Infos'!$L$10</f>
        <v>54.334750666666665</v>
      </c>
      <c r="J36" s="109"/>
      <c r="K36" s="23"/>
      <c r="L36" s="23"/>
      <c r="M36" s="101" t="s">
        <v>160</v>
      </c>
      <c r="N36" s="48">
        <v>15.5</v>
      </c>
      <c r="O36" s="51">
        <v>3.5</v>
      </c>
      <c r="P36" s="46" t="s">
        <v>403</v>
      </c>
      <c r="Q36" s="107">
        <v>11</v>
      </c>
      <c r="R36" s="181"/>
      <c r="S36" s="108">
        <f>$F$7*O36*'Vehicle Infos'!$L$21</f>
        <v>47.090565999999995</v>
      </c>
      <c r="T36" s="23"/>
      <c r="U36" s="23"/>
      <c r="V36" s="102" t="s">
        <v>162</v>
      </c>
      <c r="W36" s="48"/>
      <c r="X36" s="51">
        <f>SUM(X31:X35)</f>
        <v>12</v>
      </c>
      <c r="Y36" s="46"/>
      <c r="Z36" s="110">
        <f>SUM(Z31:Z35)</f>
        <v>49</v>
      </c>
      <c r="AA36" s="109"/>
      <c r="AB36" s="108">
        <f>$G$7*X36*'Vehicle Infos'!$L$29</f>
        <v>122.31000200000001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19.5" customHeight="1" x14ac:dyDescent="0.35">
      <c r="A37" s="23"/>
      <c r="B37" s="23"/>
      <c r="C37" s="104" t="s">
        <v>163</v>
      </c>
      <c r="D37" s="105">
        <v>12</v>
      </c>
      <c r="E37" s="105">
        <v>1</v>
      </c>
      <c r="F37" s="106" t="s">
        <v>410</v>
      </c>
      <c r="G37" s="107">
        <v>5</v>
      </c>
      <c r="H37" s="181"/>
      <c r="I37" s="104">
        <f>$D$7*E37*'Vehicle Infos'!$L$10</f>
        <v>54.334750666666665</v>
      </c>
      <c r="J37" s="109"/>
      <c r="K37" s="23"/>
      <c r="L37" s="23"/>
      <c r="M37" s="101" t="s">
        <v>165</v>
      </c>
      <c r="N37" s="48">
        <v>18.5</v>
      </c>
      <c r="O37" s="51">
        <v>3</v>
      </c>
      <c r="P37" s="46" t="s">
        <v>411</v>
      </c>
      <c r="Q37" s="107">
        <v>13</v>
      </c>
      <c r="R37" s="193"/>
      <c r="S37" s="108">
        <f>$F$7*O37*'Vehicle Infos'!$L$21</f>
        <v>40.363342285714282</v>
      </c>
      <c r="T37" s="23"/>
      <c r="U37" s="23"/>
      <c r="V37" s="101"/>
      <c r="W37" s="48"/>
      <c r="X37" s="51"/>
      <c r="Y37" s="23"/>
      <c r="Z37" s="107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ht="19.5" customHeight="1" x14ac:dyDescent="0.35">
      <c r="A38" s="23"/>
      <c r="B38" s="23"/>
      <c r="C38" s="104" t="s">
        <v>167</v>
      </c>
      <c r="D38" s="105">
        <v>14</v>
      </c>
      <c r="E38" s="105">
        <v>2</v>
      </c>
      <c r="F38" s="106" t="s">
        <v>412</v>
      </c>
      <c r="G38" s="107">
        <v>9</v>
      </c>
      <c r="H38" s="181"/>
      <c r="I38" s="104">
        <f>$D$7*E38*'Vehicle Infos'!$L$10</f>
        <v>108.66950133333333</v>
      </c>
      <c r="J38" s="109"/>
      <c r="K38" s="23"/>
      <c r="L38" s="23"/>
      <c r="M38" s="102" t="s">
        <v>162</v>
      </c>
      <c r="N38" s="49"/>
      <c r="O38" s="45">
        <f>SUM(O31:O37)</f>
        <v>18.5</v>
      </c>
      <c r="P38" s="58"/>
      <c r="Q38" s="110">
        <f>SUM(Q32:Q37)</f>
        <v>47</v>
      </c>
      <c r="R38" s="109"/>
      <c r="S38" s="108">
        <f>$F$7*O38*'Vehicle Infos'!$L$21</f>
        <v>248.90727742857138</v>
      </c>
      <c r="T38" s="23"/>
      <c r="U38" s="23"/>
      <c r="V38" s="96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ht="19.5" customHeight="1" x14ac:dyDescent="0.3">
      <c r="A39" s="23"/>
      <c r="B39" s="23"/>
      <c r="C39" s="104" t="s">
        <v>169</v>
      </c>
      <c r="D39" s="105">
        <v>14.5</v>
      </c>
      <c r="E39" s="105">
        <v>0.5</v>
      </c>
      <c r="F39" s="106" t="s">
        <v>198</v>
      </c>
      <c r="G39" s="107">
        <v>2</v>
      </c>
      <c r="H39" s="181"/>
      <c r="I39" s="104">
        <f>$D$7*E39*'Vehicle Infos'!$L$10</f>
        <v>27.167375333333332</v>
      </c>
      <c r="J39" s="109"/>
      <c r="K39" s="23"/>
      <c r="L39" s="23"/>
      <c r="M39" s="96"/>
      <c r="N39" s="23"/>
      <c r="O39" s="23"/>
      <c r="P39" s="23"/>
      <c r="Q39" s="107"/>
      <c r="R39" s="23"/>
      <c r="S39" s="23"/>
      <c r="T39" s="23"/>
      <c r="U39" s="23"/>
      <c r="V39" s="96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ht="19.5" customHeight="1" x14ac:dyDescent="0.3">
      <c r="A40" s="23"/>
      <c r="B40" s="23"/>
      <c r="C40" s="104" t="s">
        <v>171</v>
      </c>
      <c r="D40" s="105">
        <v>15</v>
      </c>
      <c r="E40" s="105">
        <v>0.5</v>
      </c>
      <c r="F40" s="106" t="s">
        <v>413</v>
      </c>
      <c r="G40" s="107">
        <v>1</v>
      </c>
      <c r="H40" s="193"/>
      <c r="I40" s="104">
        <f>$D$7*E40*'Vehicle Infos'!$L$10</f>
        <v>27.167375333333332</v>
      </c>
      <c r="J40" s="109"/>
      <c r="K40" s="23"/>
      <c r="L40" s="23"/>
      <c r="M40" s="96"/>
      <c r="N40" s="23"/>
      <c r="O40" s="23"/>
      <c r="P40" s="23"/>
      <c r="Q40" s="23"/>
      <c r="R40" s="23"/>
      <c r="S40" s="23"/>
      <c r="T40" s="23"/>
      <c r="U40" s="23"/>
      <c r="V40" s="96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ht="19.5" customHeight="1" x14ac:dyDescent="0.3">
      <c r="A41" s="23"/>
      <c r="B41" s="23"/>
      <c r="C41" s="70" t="s">
        <v>162</v>
      </c>
      <c r="D41" s="108"/>
      <c r="E41" s="105">
        <v>15</v>
      </c>
      <c r="F41" s="111"/>
      <c r="G41" s="110">
        <f>SUM(G32:G40)</f>
        <v>55</v>
      </c>
      <c r="H41" s="107"/>
      <c r="I41" s="104">
        <f>$D$7*E41*'Vehicle Infos'!$L$10</f>
        <v>815.02125999999998</v>
      </c>
      <c r="J41" s="112"/>
      <c r="K41" s="23"/>
      <c r="L41" s="23"/>
      <c r="M41" s="96"/>
      <c r="N41" s="23"/>
      <c r="O41" s="23"/>
      <c r="P41" s="23"/>
      <c r="Q41" s="23"/>
      <c r="R41" s="23"/>
      <c r="S41" s="23"/>
      <c r="T41" s="23"/>
      <c r="U41" s="23"/>
      <c r="V41" s="96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15.7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96"/>
      <c r="N42" s="23"/>
      <c r="O42" s="23"/>
      <c r="P42" s="23"/>
      <c r="Q42" s="23"/>
      <c r="R42" s="23"/>
      <c r="S42" s="23"/>
      <c r="T42" s="23"/>
      <c r="U42" s="23"/>
      <c r="V42" s="96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96"/>
      <c r="N43" s="23"/>
      <c r="O43" s="23"/>
      <c r="P43" s="23"/>
      <c r="Q43" s="23"/>
      <c r="R43" s="23"/>
      <c r="S43" s="23"/>
      <c r="T43" s="23"/>
      <c r="U43" s="23"/>
      <c r="V43" s="96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ht="21" customHeight="1" x14ac:dyDescent="0.35">
      <c r="A44" s="23"/>
      <c r="B44" s="23"/>
      <c r="C44" s="78" t="s">
        <v>414</v>
      </c>
      <c r="D44" s="79"/>
      <c r="E44" s="79"/>
      <c r="F44" s="79"/>
      <c r="G44" s="79"/>
      <c r="H44" s="79"/>
      <c r="I44" s="79"/>
      <c r="J44" s="79"/>
      <c r="K44" s="23"/>
      <c r="L44" s="23"/>
      <c r="M44" s="113" t="s">
        <v>414</v>
      </c>
      <c r="N44" s="34"/>
      <c r="O44" s="34"/>
      <c r="P44" s="34"/>
      <c r="Q44" s="34"/>
      <c r="R44" s="34"/>
      <c r="S44" s="34"/>
      <c r="T44" s="23"/>
      <c r="U44" s="23"/>
      <c r="V44" s="113" t="s">
        <v>414</v>
      </c>
      <c r="W44" s="34"/>
      <c r="X44" s="34"/>
      <c r="Y44" s="34"/>
      <c r="Z44" s="34"/>
      <c r="AA44" s="34"/>
      <c r="AB44" s="34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ht="66" customHeight="1" x14ac:dyDescent="0.3">
      <c r="A45" s="23"/>
      <c r="B45" s="23"/>
      <c r="C45" s="37" t="s">
        <v>176</v>
      </c>
      <c r="D45" s="38" t="s">
        <v>122</v>
      </c>
      <c r="E45" s="38" t="s">
        <v>129</v>
      </c>
      <c r="F45" s="38" t="s">
        <v>130</v>
      </c>
      <c r="G45" s="38" t="s">
        <v>131</v>
      </c>
      <c r="H45" s="39" t="s">
        <v>126</v>
      </c>
      <c r="I45" s="40" t="s">
        <v>127</v>
      </c>
      <c r="J45" s="103"/>
      <c r="K45" s="23"/>
      <c r="L45" s="23"/>
      <c r="M45" s="43" t="s">
        <v>177</v>
      </c>
      <c r="N45" s="38" t="s">
        <v>122</v>
      </c>
      <c r="O45" s="38" t="s">
        <v>129</v>
      </c>
      <c r="P45" s="38" t="s">
        <v>130</v>
      </c>
      <c r="Q45" s="38" t="s">
        <v>131</v>
      </c>
      <c r="R45" s="39" t="s">
        <v>126</v>
      </c>
      <c r="S45" s="40" t="s">
        <v>127</v>
      </c>
      <c r="T45" s="23"/>
      <c r="U45" s="23"/>
      <c r="V45" s="43" t="s">
        <v>178</v>
      </c>
      <c r="W45" s="38" t="s">
        <v>122</v>
      </c>
      <c r="X45" s="38" t="s">
        <v>129</v>
      </c>
      <c r="Y45" s="38" t="s">
        <v>130</v>
      </c>
      <c r="Z45" s="38" t="s">
        <v>131</v>
      </c>
      <c r="AA45" s="39" t="s">
        <v>126</v>
      </c>
      <c r="AB45" s="40" t="s">
        <v>127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ht="19.5" customHeight="1" x14ac:dyDescent="0.35">
      <c r="A46" s="23"/>
      <c r="B46" s="23"/>
      <c r="C46" s="104" t="s">
        <v>133</v>
      </c>
      <c r="D46" s="105">
        <v>0</v>
      </c>
      <c r="E46" s="105">
        <v>0</v>
      </c>
      <c r="F46" s="106" t="s">
        <v>415</v>
      </c>
      <c r="G46" s="107"/>
      <c r="H46" s="202">
        <f>D8*D3*'Vehicle Infos'!K10</f>
        <v>2734.8</v>
      </c>
      <c r="I46" s="104">
        <f>$D$8*E46*'Vehicle Infos'!$L$10</f>
        <v>0</v>
      </c>
      <c r="J46" s="104"/>
      <c r="K46" s="23"/>
      <c r="L46" s="23"/>
      <c r="M46" s="101" t="s">
        <v>135</v>
      </c>
      <c r="N46" s="48">
        <v>0</v>
      </c>
      <c r="O46" s="47">
        <v>0</v>
      </c>
      <c r="P46" s="46" t="s">
        <v>369</v>
      </c>
      <c r="Q46" s="107"/>
      <c r="R46" s="202">
        <f>F8*F3*'Vehicle Infos'!K21</f>
        <v>909.96344999999985</v>
      </c>
      <c r="S46" s="108">
        <f>$F$8*O46*'Vehicle Infos'!$L$21</f>
        <v>0</v>
      </c>
      <c r="T46" s="23"/>
      <c r="U46" s="23"/>
      <c r="V46" s="101" t="s">
        <v>136</v>
      </c>
      <c r="W46" s="48">
        <v>0</v>
      </c>
      <c r="X46" s="47">
        <v>0</v>
      </c>
      <c r="Y46" s="46" t="s">
        <v>416</v>
      </c>
      <c r="Z46" s="107">
        <v>0</v>
      </c>
      <c r="AA46" s="202">
        <f>G8*G3*'Vehicle Infos'!K29</f>
        <v>411.84</v>
      </c>
      <c r="AB46" s="108">
        <f>$G$8*X46*'Vehicle Infos'!$L$29</f>
        <v>0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19.5" customHeight="1" x14ac:dyDescent="0.35">
      <c r="A47" s="23"/>
      <c r="B47" s="23"/>
      <c r="C47" s="104" t="s">
        <v>137</v>
      </c>
      <c r="D47" s="105">
        <v>7.5</v>
      </c>
      <c r="E47" s="105">
        <v>7.5</v>
      </c>
      <c r="F47" s="106" t="s">
        <v>417</v>
      </c>
      <c r="G47" s="107">
        <v>7</v>
      </c>
      <c r="H47" s="181"/>
      <c r="I47" s="104">
        <f>$D$8*E47*'Vehicle Infos'!$L$10</f>
        <v>664.37752</v>
      </c>
      <c r="J47" s="109"/>
      <c r="K47" s="23"/>
      <c r="L47" s="23"/>
      <c r="M47" s="101" t="s">
        <v>139</v>
      </c>
      <c r="N47" s="48">
        <v>1</v>
      </c>
      <c r="O47" s="47">
        <v>1</v>
      </c>
      <c r="P47" s="46" t="s">
        <v>418</v>
      </c>
      <c r="Q47" s="47">
        <v>2</v>
      </c>
      <c r="R47" s="181"/>
      <c r="S47" s="108">
        <f>$F$8*O47*'Vehicle Infos'!$L$21</f>
        <v>15.818066571428568</v>
      </c>
      <c r="T47" s="23"/>
      <c r="U47" s="23"/>
      <c r="V47" s="101" t="s">
        <v>141</v>
      </c>
      <c r="W47" s="48">
        <v>3</v>
      </c>
      <c r="X47" s="51">
        <v>3</v>
      </c>
      <c r="Y47" s="46" t="s">
        <v>419</v>
      </c>
      <c r="Z47" s="47">
        <v>5</v>
      </c>
      <c r="AA47" s="181"/>
      <c r="AB47" s="108">
        <f>$G$8*X47*'Vehicle Infos'!$L$29</f>
        <v>26.066066000000003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 spans="1:40" ht="19.5" customHeight="1" x14ac:dyDescent="0.35">
      <c r="A48" s="23"/>
      <c r="B48" s="23"/>
      <c r="C48" s="104" t="s">
        <v>143</v>
      </c>
      <c r="D48" s="105">
        <v>8</v>
      </c>
      <c r="E48" s="105">
        <v>0.5</v>
      </c>
      <c r="F48" s="106" t="s">
        <v>420</v>
      </c>
      <c r="G48" s="107">
        <v>2</v>
      </c>
      <c r="H48" s="181"/>
      <c r="I48" s="104">
        <f>$D$8*E48*'Vehicle Infos'!$L$10</f>
        <v>44.291834666666666</v>
      </c>
      <c r="J48" s="109"/>
      <c r="K48" s="23"/>
      <c r="L48" s="23"/>
      <c r="M48" s="101" t="s">
        <v>145</v>
      </c>
      <c r="N48" s="48">
        <v>2.5</v>
      </c>
      <c r="O48" s="51">
        <v>1.5</v>
      </c>
      <c r="P48" s="46" t="s">
        <v>370</v>
      </c>
      <c r="Q48" s="47">
        <v>4</v>
      </c>
      <c r="R48" s="181"/>
      <c r="S48" s="108">
        <f>$F$8*O48*'Vehicle Infos'!$L$21</f>
        <v>23.727099857142854</v>
      </c>
      <c r="T48" s="23"/>
      <c r="U48" s="23"/>
      <c r="V48" s="101" t="s">
        <v>146</v>
      </c>
      <c r="W48" s="48">
        <v>5.5</v>
      </c>
      <c r="X48" s="51">
        <v>2.5</v>
      </c>
      <c r="Y48" s="46" t="s">
        <v>310</v>
      </c>
      <c r="Z48" s="47">
        <v>6</v>
      </c>
      <c r="AA48" s="181"/>
      <c r="AB48" s="108">
        <f>$G$8*X48*'Vehicle Infos'!$L$29</f>
        <v>21.721721666666667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 spans="1:40" ht="19.5" customHeight="1" x14ac:dyDescent="0.35">
      <c r="A49" s="23"/>
      <c r="B49" s="23"/>
      <c r="C49" s="104" t="s">
        <v>148</v>
      </c>
      <c r="D49" s="105">
        <v>9</v>
      </c>
      <c r="E49" s="105">
        <v>1</v>
      </c>
      <c r="F49" s="106" t="s">
        <v>421</v>
      </c>
      <c r="G49" s="107">
        <v>4</v>
      </c>
      <c r="H49" s="181"/>
      <c r="I49" s="104">
        <f>$D$8*E49*'Vehicle Infos'!$L$10</f>
        <v>88.583669333333333</v>
      </c>
      <c r="J49" s="109"/>
      <c r="K49" s="23"/>
      <c r="L49" s="23"/>
      <c r="M49" s="101" t="s">
        <v>150</v>
      </c>
      <c r="N49" s="48">
        <v>9</v>
      </c>
      <c r="O49" s="51">
        <v>6.5</v>
      </c>
      <c r="P49" s="46" t="s">
        <v>372</v>
      </c>
      <c r="Q49" s="47">
        <v>9</v>
      </c>
      <c r="R49" s="181"/>
      <c r="S49" s="108">
        <f>$F$8*O49*'Vehicle Infos'!$L$21</f>
        <v>102.8174327142857</v>
      </c>
      <c r="T49" s="23"/>
      <c r="U49" s="23"/>
      <c r="V49" s="101" t="s">
        <v>151</v>
      </c>
      <c r="W49" s="48">
        <v>7.5</v>
      </c>
      <c r="X49" s="51">
        <v>2</v>
      </c>
      <c r="Y49" s="46" t="s">
        <v>313</v>
      </c>
      <c r="Z49" s="47">
        <v>8</v>
      </c>
      <c r="AA49" s="181"/>
      <c r="AB49" s="108">
        <f>$G$8*X49*'Vehicle Infos'!$L$29</f>
        <v>17.377377333333335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</row>
    <row r="50" spans="1:40" ht="19.5" customHeight="1" x14ac:dyDescent="0.35">
      <c r="A50" s="23"/>
      <c r="B50" s="23"/>
      <c r="C50" s="104" t="s">
        <v>153</v>
      </c>
      <c r="D50" s="105">
        <v>10</v>
      </c>
      <c r="E50" s="105">
        <v>1</v>
      </c>
      <c r="F50" s="106" t="s">
        <v>422</v>
      </c>
      <c r="G50" s="107">
        <v>3</v>
      </c>
      <c r="H50" s="181"/>
      <c r="I50" s="104">
        <f>$D$8*E50*'Vehicle Infos'!$L$10</f>
        <v>88.583669333333333</v>
      </c>
      <c r="J50" s="109"/>
      <c r="K50" s="23"/>
      <c r="L50" s="23"/>
      <c r="M50" s="101" t="s">
        <v>155</v>
      </c>
      <c r="N50" s="48">
        <v>12</v>
      </c>
      <c r="O50" s="51">
        <v>3</v>
      </c>
      <c r="P50" s="46" t="s">
        <v>423</v>
      </c>
      <c r="Q50" s="47">
        <v>5</v>
      </c>
      <c r="R50" s="181"/>
      <c r="S50" s="108">
        <f>$F$8*O50*'Vehicle Infos'!$L$21</f>
        <v>47.454199714285707</v>
      </c>
      <c r="T50" s="23"/>
      <c r="U50" s="23"/>
      <c r="V50" s="101" t="s">
        <v>156</v>
      </c>
      <c r="W50" s="48">
        <v>12</v>
      </c>
      <c r="X50" s="51">
        <v>4.5</v>
      </c>
      <c r="Y50" s="46" t="s">
        <v>424</v>
      </c>
      <c r="Z50" s="47">
        <v>14</v>
      </c>
      <c r="AA50" s="193"/>
      <c r="AB50" s="108">
        <f>$G$8*X50*'Vehicle Infos'!$L$29</f>
        <v>39.099099000000002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</row>
    <row r="51" spans="1:40" ht="19.5" customHeight="1" x14ac:dyDescent="0.35">
      <c r="A51" s="23"/>
      <c r="B51" s="23"/>
      <c r="C51" s="104" t="s">
        <v>158</v>
      </c>
      <c r="D51" s="105">
        <v>11</v>
      </c>
      <c r="E51" s="105">
        <v>1</v>
      </c>
      <c r="F51" s="106" t="s">
        <v>425</v>
      </c>
      <c r="G51" s="107">
        <v>6</v>
      </c>
      <c r="H51" s="181"/>
      <c r="I51" s="104">
        <f>$D$8*E51*'Vehicle Infos'!$L$10</f>
        <v>88.583669333333333</v>
      </c>
      <c r="J51" s="109"/>
      <c r="K51" s="23"/>
      <c r="L51" s="23"/>
      <c r="M51" s="101" t="s">
        <v>160</v>
      </c>
      <c r="N51" s="48">
        <v>15.5</v>
      </c>
      <c r="O51" s="51">
        <v>3.5</v>
      </c>
      <c r="P51" s="46" t="s">
        <v>426</v>
      </c>
      <c r="Q51" s="47">
        <v>5</v>
      </c>
      <c r="R51" s="181"/>
      <c r="S51" s="108">
        <f>$F$8*O51*'Vehicle Infos'!$L$21</f>
        <v>55.363232999999994</v>
      </c>
      <c r="T51" s="23"/>
      <c r="U51" s="23"/>
      <c r="V51" s="102" t="s">
        <v>162</v>
      </c>
      <c r="W51" s="48"/>
      <c r="X51" s="51">
        <f>SUM(X46:X50)</f>
        <v>12</v>
      </c>
      <c r="Y51" s="46"/>
      <c r="Z51" s="75">
        <f>SUM(Z46:Z50)</f>
        <v>33</v>
      </c>
      <c r="AA51" s="109"/>
      <c r="AB51" s="108">
        <f>$G$8*X51*'Vehicle Infos'!$L$29</f>
        <v>104.26426400000001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 spans="1:40" ht="19.5" customHeight="1" x14ac:dyDescent="0.35">
      <c r="A52" s="23"/>
      <c r="B52" s="23"/>
      <c r="C52" s="104" t="s">
        <v>163</v>
      </c>
      <c r="D52" s="105">
        <v>12</v>
      </c>
      <c r="E52" s="105">
        <v>1</v>
      </c>
      <c r="F52" s="106" t="s">
        <v>371</v>
      </c>
      <c r="G52" s="107">
        <v>2</v>
      </c>
      <c r="H52" s="181"/>
      <c r="I52" s="104">
        <f>$D$8*E52*'Vehicle Infos'!$L$10</f>
        <v>88.583669333333333</v>
      </c>
      <c r="J52" s="109"/>
      <c r="K52" s="23"/>
      <c r="L52" s="23"/>
      <c r="M52" s="101" t="s">
        <v>165</v>
      </c>
      <c r="N52" s="48">
        <v>18.5</v>
      </c>
      <c r="O52" s="51">
        <v>3</v>
      </c>
      <c r="P52" s="46" t="s">
        <v>427</v>
      </c>
      <c r="Q52" s="47">
        <v>5</v>
      </c>
      <c r="R52" s="193"/>
      <c r="S52" s="108">
        <f>$F$8*O52*'Vehicle Infos'!$L$21</f>
        <v>47.454199714285707</v>
      </c>
      <c r="T52" s="23"/>
      <c r="U52" s="23"/>
      <c r="V52" s="101"/>
      <c r="W52" s="48"/>
      <c r="X52" s="51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 spans="1:40" ht="19.5" customHeight="1" x14ac:dyDescent="0.35">
      <c r="A53" s="23"/>
      <c r="B53" s="23"/>
      <c r="C53" s="104" t="s">
        <v>167</v>
      </c>
      <c r="D53" s="105">
        <v>14</v>
      </c>
      <c r="E53" s="105">
        <v>2</v>
      </c>
      <c r="F53" s="106" t="s">
        <v>428</v>
      </c>
      <c r="G53" s="107">
        <v>4</v>
      </c>
      <c r="H53" s="181"/>
      <c r="I53" s="104">
        <f>$D$8*E53*'Vehicle Infos'!$L$10</f>
        <v>177.16733866666667</v>
      </c>
      <c r="J53" s="109"/>
      <c r="K53" s="23"/>
      <c r="L53" s="23"/>
      <c r="M53" s="102" t="s">
        <v>162</v>
      </c>
      <c r="N53" s="49"/>
      <c r="O53" s="45">
        <f>SUM(O46:O52)</f>
        <v>18.5</v>
      </c>
      <c r="P53" s="58"/>
      <c r="Q53" s="107">
        <f>SUM(Q47:Q52)</f>
        <v>30</v>
      </c>
      <c r="R53" s="109"/>
      <c r="S53" s="108">
        <f>$F$8*O53*'Vehicle Infos'!$L$21</f>
        <v>292.63423157142853</v>
      </c>
      <c r="T53" s="23"/>
      <c r="U53" s="23"/>
      <c r="V53" s="96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</row>
    <row r="54" spans="1:40" ht="19.5" customHeight="1" x14ac:dyDescent="0.3">
      <c r="A54" s="23"/>
      <c r="B54" s="23"/>
      <c r="C54" s="104" t="s">
        <v>169</v>
      </c>
      <c r="D54" s="105">
        <v>14.5</v>
      </c>
      <c r="E54" s="105">
        <v>0.5</v>
      </c>
      <c r="F54" s="106" t="s">
        <v>372</v>
      </c>
      <c r="G54" s="107">
        <v>2</v>
      </c>
      <c r="H54" s="181"/>
      <c r="I54" s="104">
        <f>$D$8*E54*'Vehicle Infos'!$L$10</f>
        <v>44.291834666666666</v>
      </c>
      <c r="J54" s="109"/>
      <c r="K54" s="23"/>
      <c r="L54" s="23"/>
      <c r="M54" s="96"/>
      <c r="N54" s="23"/>
      <c r="O54" s="23"/>
      <c r="P54" s="23"/>
      <c r="Q54" s="23"/>
      <c r="R54" s="23"/>
      <c r="S54" s="23"/>
      <c r="T54" s="23"/>
      <c r="U54" s="23"/>
      <c r="V54" s="96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ht="19.5" customHeight="1" x14ac:dyDescent="0.3">
      <c r="A55" s="23"/>
      <c r="B55" s="23"/>
      <c r="C55" s="104" t="s">
        <v>171</v>
      </c>
      <c r="D55" s="105">
        <v>15</v>
      </c>
      <c r="E55" s="105">
        <v>0.5</v>
      </c>
      <c r="F55" s="106" t="s">
        <v>429</v>
      </c>
      <c r="G55" s="107">
        <v>1</v>
      </c>
      <c r="H55" s="193"/>
      <c r="I55" s="104">
        <f>$D$8*E55*'Vehicle Infos'!$L$10</f>
        <v>44.291834666666666</v>
      </c>
      <c r="J55" s="109"/>
      <c r="K55" s="23"/>
      <c r="L55" s="23"/>
      <c r="M55" s="96"/>
      <c r="N55" s="23"/>
      <c r="O55" s="23"/>
      <c r="P55" s="23"/>
      <c r="Q55" s="23"/>
      <c r="R55" s="23"/>
      <c r="S55" s="23"/>
      <c r="T55" s="23"/>
      <c r="U55" s="23"/>
      <c r="V55" s="96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 spans="1:40" ht="19.5" customHeight="1" x14ac:dyDescent="0.3">
      <c r="A56" s="23"/>
      <c r="B56" s="23"/>
      <c r="C56" s="70" t="s">
        <v>162</v>
      </c>
      <c r="D56" s="108"/>
      <c r="E56" s="105">
        <v>15</v>
      </c>
      <c r="F56" s="111"/>
      <c r="G56" s="110">
        <f>SUM(G47:G55)</f>
        <v>31</v>
      </c>
      <c r="H56" s="107"/>
      <c r="I56" s="104">
        <f>$D$8*E56*'Vehicle Infos'!$L$10</f>
        <v>1328.75504</v>
      </c>
      <c r="J56" s="112"/>
      <c r="K56" s="23"/>
      <c r="L56" s="23"/>
      <c r="M56" s="96"/>
      <c r="N56" s="23"/>
      <c r="O56" s="23"/>
      <c r="P56" s="23"/>
      <c r="Q56" s="23"/>
      <c r="R56" s="23"/>
      <c r="S56" s="23"/>
      <c r="T56" s="23"/>
      <c r="U56" s="23"/>
      <c r="V56" s="96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ht="15.7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96"/>
      <c r="N57" s="23"/>
      <c r="O57" s="23"/>
      <c r="P57" s="23"/>
      <c r="Q57" s="23"/>
      <c r="R57" s="23"/>
      <c r="S57" s="23"/>
      <c r="T57" s="23"/>
      <c r="U57" s="23"/>
      <c r="V57" s="96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ht="15.7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96"/>
      <c r="N58" s="23"/>
      <c r="O58" s="23"/>
      <c r="P58" s="23"/>
      <c r="Q58" s="23"/>
      <c r="R58" s="23"/>
      <c r="S58" s="23"/>
      <c r="T58" s="23"/>
      <c r="U58" s="23"/>
      <c r="V58" s="96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22.5" customHeight="1" x14ac:dyDescent="0.35">
      <c r="A59" s="23"/>
      <c r="B59" s="23"/>
      <c r="C59" s="32" t="s">
        <v>430</v>
      </c>
      <c r="D59" s="69"/>
      <c r="E59" s="69"/>
      <c r="F59" s="69"/>
      <c r="G59" s="69"/>
      <c r="H59" s="69"/>
      <c r="I59" s="69"/>
      <c r="J59" s="69"/>
      <c r="K59" s="23"/>
      <c r="L59" s="23"/>
      <c r="M59" s="97" t="s">
        <v>430</v>
      </c>
      <c r="N59" s="33"/>
      <c r="O59" s="33"/>
      <c r="P59" s="33"/>
      <c r="Q59" s="33"/>
      <c r="R59" s="33"/>
      <c r="S59" s="33"/>
      <c r="T59" s="23"/>
      <c r="U59" s="23"/>
      <c r="V59" s="97" t="s">
        <v>430</v>
      </c>
      <c r="W59" s="33"/>
      <c r="X59" s="33"/>
      <c r="Y59" s="33"/>
      <c r="Z59" s="33"/>
      <c r="AA59" s="33"/>
      <c r="AB59" s="3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</row>
    <row r="60" spans="1:40" ht="66" customHeight="1" x14ac:dyDescent="0.3">
      <c r="A60" s="23"/>
      <c r="B60" s="23"/>
      <c r="C60" s="37" t="s">
        <v>176</v>
      </c>
      <c r="D60" s="38" t="s">
        <v>122</v>
      </c>
      <c r="E60" s="38" t="s">
        <v>129</v>
      </c>
      <c r="F60" s="38" t="s">
        <v>130</v>
      </c>
      <c r="G60" s="38" t="s">
        <v>131</v>
      </c>
      <c r="H60" s="39" t="s">
        <v>126</v>
      </c>
      <c r="I60" s="40" t="s">
        <v>127</v>
      </c>
      <c r="J60" s="103"/>
      <c r="K60" s="23"/>
      <c r="L60" s="23"/>
      <c r="M60" s="37" t="s">
        <v>177</v>
      </c>
      <c r="N60" s="38" t="s">
        <v>122</v>
      </c>
      <c r="O60" s="38" t="s">
        <v>129</v>
      </c>
      <c r="P60" s="38" t="s">
        <v>130</v>
      </c>
      <c r="Q60" s="38" t="s">
        <v>131</v>
      </c>
      <c r="R60" s="39" t="s">
        <v>126</v>
      </c>
      <c r="S60" s="40" t="s">
        <v>127</v>
      </c>
      <c r="T60" s="23"/>
      <c r="U60" s="23"/>
      <c r="V60" s="43" t="s">
        <v>178</v>
      </c>
      <c r="W60" s="38" t="s">
        <v>122</v>
      </c>
      <c r="X60" s="38" t="s">
        <v>129</v>
      </c>
      <c r="Y60" s="38" t="s">
        <v>130</v>
      </c>
      <c r="Z60" s="38" t="s">
        <v>131</v>
      </c>
      <c r="AA60" s="39" t="s">
        <v>126</v>
      </c>
      <c r="AB60" s="40" t="s">
        <v>127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15.75" customHeight="1" x14ac:dyDescent="0.35">
      <c r="A61" s="23"/>
      <c r="B61" s="23"/>
      <c r="C61" s="104" t="s">
        <v>133</v>
      </c>
      <c r="D61" s="105">
        <v>0</v>
      </c>
      <c r="E61" s="105">
        <v>0</v>
      </c>
      <c r="F61" s="106" t="s">
        <v>238</v>
      </c>
      <c r="G61" s="107"/>
      <c r="H61" s="202">
        <f>D9*D3*'Vehicle Infos'!K10</f>
        <v>1534.3500000000001</v>
      </c>
      <c r="I61" s="104">
        <f>$D$9*E61*'Vehicle Infos'!$L$10</f>
        <v>0</v>
      </c>
      <c r="J61" s="104"/>
      <c r="K61" s="23"/>
      <c r="L61" s="23"/>
      <c r="M61" s="101" t="s">
        <v>135</v>
      </c>
      <c r="N61" s="48">
        <v>0</v>
      </c>
      <c r="O61" s="47">
        <v>0</v>
      </c>
      <c r="P61" s="46" t="s">
        <v>216</v>
      </c>
      <c r="Q61" s="107"/>
      <c r="R61" s="202">
        <f>F9*F3*'Vehicle Infos'!K21</f>
        <v>878.58539999999994</v>
      </c>
      <c r="S61" s="108">
        <f>$F$9*O61*'Vehicle Infos'!$L$21</f>
        <v>0</v>
      </c>
      <c r="T61" s="23"/>
      <c r="U61" s="23"/>
      <c r="V61" s="101" t="s">
        <v>136</v>
      </c>
      <c r="W61" s="48">
        <v>0</v>
      </c>
      <c r="X61" s="47">
        <v>0</v>
      </c>
      <c r="Y61" s="46" t="s">
        <v>216</v>
      </c>
      <c r="Z61" s="107">
        <v>0</v>
      </c>
      <c r="AA61" s="202">
        <f>G9*G3*'Vehicle Infos'!K29</f>
        <v>261.35999999999996</v>
      </c>
      <c r="AB61" s="108">
        <f>$G$9*X61*'Vehicle Infos'!$L$29</f>
        <v>0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 spans="1:40" ht="15.75" customHeight="1" x14ac:dyDescent="0.35">
      <c r="A62" s="23"/>
      <c r="B62" s="23"/>
      <c r="C62" s="104" t="s">
        <v>137</v>
      </c>
      <c r="D62" s="105">
        <v>7.5</v>
      </c>
      <c r="E62" s="105">
        <v>7.5</v>
      </c>
      <c r="F62" s="106" t="s">
        <v>239</v>
      </c>
      <c r="G62" s="107">
        <v>7</v>
      </c>
      <c r="H62" s="181"/>
      <c r="I62" s="104">
        <f>$D$9*E62*'Vehicle Infos'!$L$10</f>
        <v>372.74669</v>
      </c>
      <c r="J62" s="109"/>
      <c r="K62" s="23"/>
      <c r="L62" s="23"/>
      <c r="M62" s="101" t="s">
        <v>139</v>
      </c>
      <c r="N62" s="48">
        <v>1</v>
      </c>
      <c r="O62" s="47">
        <v>1</v>
      </c>
      <c r="P62" s="46" t="s">
        <v>240</v>
      </c>
      <c r="Q62" s="47">
        <v>2</v>
      </c>
      <c r="R62" s="181"/>
      <c r="S62" s="108">
        <f>$F$9*O62*'Vehicle Infos'!$L$21</f>
        <v>15.272615999999998</v>
      </c>
      <c r="T62" s="23"/>
      <c r="U62" s="23"/>
      <c r="V62" s="101" t="s">
        <v>141</v>
      </c>
      <c r="W62" s="48">
        <v>3</v>
      </c>
      <c r="X62" s="51">
        <v>3</v>
      </c>
      <c r="Y62" s="46" t="s">
        <v>219</v>
      </c>
      <c r="Z62" s="47">
        <v>5</v>
      </c>
      <c r="AA62" s="181"/>
      <c r="AB62" s="108">
        <f>$G$9*X62*'Vehicle Infos'!$L$29</f>
        <v>16.541926500000002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 spans="1:40" ht="15.75" customHeight="1" x14ac:dyDescent="0.35">
      <c r="A63" s="23"/>
      <c r="B63" s="23"/>
      <c r="C63" s="104" t="s">
        <v>143</v>
      </c>
      <c r="D63" s="105">
        <v>8</v>
      </c>
      <c r="E63" s="105">
        <v>0.5</v>
      </c>
      <c r="F63" s="106" t="s">
        <v>431</v>
      </c>
      <c r="G63" s="107">
        <v>3</v>
      </c>
      <c r="H63" s="181"/>
      <c r="I63" s="104">
        <f>$D$9*E63*'Vehicle Infos'!$L$10</f>
        <v>24.849779333333334</v>
      </c>
      <c r="J63" s="109"/>
      <c r="K63" s="23"/>
      <c r="L63" s="23"/>
      <c r="M63" s="101" t="s">
        <v>145</v>
      </c>
      <c r="N63" s="48">
        <v>2.5</v>
      </c>
      <c r="O63" s="51">
        <v>1.5</v>
      </c>
      <c r="P63" s="46" t="s">
        <v>241</v>
      </c>
      <c r="Q63" s="47">
        <v>4</v>
      </c>
      <c r="R63" s="181"/>
      <c r="S63" s="108">
        <f>$F$9*O63*'Vehicle Infos'!$L$21</f>
        <v>22.908923999999995</v>
      </c>
      <c r="T63" s="23"/>
      <c r="U63" s="23"/>
      <c r="V63" s="101" t="s">
        <v>146</v>
      </c>
      <c r="W63" s="48">
        <v>5.5</v>
      </c>
      <c r="X63" s="51">
        <v>2.5</v>
      </c>
      <c r="Y63" s="46" t="s">
        <v>432</v>
      </c>
      <c r="Z63" s="47">
        <v>8</v>
      </c>
      <c r="AA63" s="181"/>
      <c r="AB63" s="108">
        <f>$G$9*X63*'Vehicle Infos'!$L$29</f>
        <v>13.78493875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</row>
    <row r="64" spans="1:40" ht="15.75" customHeight="1" x14ac:dyDescent="0.35">
      <c r="A64" s="23"/>
      <c r="B64" s="23"/>
      <c r="C64" s="104" t="s">
        <v>148</v>
      </c>
      <c r="D64" s="105">
        <v>9</v>
      </c>
      <c r="E64" s="105">
        <v>1</v>
      </c>
      <c r="F64" s="106" t="s">
        <v>433</v>
      </c>
      <c r="G64" s="107">
        <v>6</v>
      </c>
      <c r="H64" s="181"/>
      <c r="I64" s="104">
        <f>$D$9*E64*'Vehicle Infos'!$L$10</f>
        <v>49.699558666666668</v>
      </c>
      <c r="J64" s="109"/>
      <c r="K64" s="23"/>
      <c r="L64" s="23"/>
      <c r="M64" s="101" t="s">
        <v>150</v>
      </c>
      <c r="N64" s="48">
        <v>9</v>
      </c>
      <c r="O64" s="51">
        <v>6.5</v>
      </c>
      <c r="P64" s="46" t="s">
        <v>434</v>
      </c>
      <c r="Q64" s="47">
        <v>10</v>
      </c>
      <c r="R64" s="181"/>
      <c r="S64" s="108">
        <f>$F$9*O64*'Vehicle Infos'!$L$21</f>
        <v>99.272003999999981</v>
      </c>
      <c r="T64" s="23"/>
      <c r="U64" s="23"/>
      <c r="V64" s="101" t="s">
        <v>151</v>
      </c>
      <c r="W64" s="48">
        <v>7.5</v>
      </c>
      <c r="X64" s="51">
        <v>2</v>
      </c>
      <c r="Y64" s="46" t="s">
        <v>248</v>
      </c>
      <c r="Z64" s="47">
        <v>12</v>
      </c>
      <c r="AA64" s="181"/>
      <c r="AB64" s="108">
        <f>$G$9*X64*'Vehicle Infos'!$L$29</f>
        <v>11.027951000000002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 spans="1:40" ht="15.75" customHeight="1" x14ac:dyDescent="0.35">
      <c r="A65" s="23"/>
      <c r="B65" s="23"/>
      <c r="C65" s="104" t="s">
        <v>153</v>
      </c>
      <c r="D65" s="105">
        <v>10</v>
      </c>
      <c r="E65" s="105">
        <v>1</v>
      </c>
      <c r="F65" s="106" t="s">
        <v>435</v>
      </c>
      <c r="G65" s="107">
        <v>3</v>
      </c>
      <c r="H65" s="181"/>
      <c r="I65" s="104">
        <f>$D$9*E65*'Vehicle Infos'!$L$10</f>
        <v>49.699558666666668</v>
      </c>
      <c r="J65" s="109"/>
      <c r="K65" s="23"/>
      <c r="L65" s="23"/>
      <c r="M65" s="101" t="s">
        <v>155</v>
      </c>
      <c r="N65" s="48">
        <v>12</v>
      </c>
      <c r="O65" s="51">
        <v>3</v>
      </c>
      <c r="P65" s="46" t="s">
        <v>436</v>
      </c>
      <c r="Q65" s="47">
        <v>6</v>
      </c>
      <c r="R65" s="181"/>
      <c r="S65" s="108">
        <f>$F$9*O65*'Vehicle Infos'!$L$21</f>
        <v>45.817847999999991</v>
      </c>
      <c r="T65" s="23"/>
      <c r="U65" s="23"/>
      <c r="V65" s="101" t="s">
        <v>156</v>
      </c>
      <c r="W65" s="48">
        <v>12</v>
      </c>
      <c r="X65" s="51">
        <v>4.5</v>
      </c>
      <c r="Y65" s="46" t="s">
        <v>435</v>
      </c>
      <c r="Z65" s="47">
        <v>29</v>
      </c>
      <c r="AA65" s="193"/>
      <c r="AB65" s="108">
        <f>$G$9*X65*'Vehicle Infos'!$L$29</f>
        <v>24.81288975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</row>
    <row r="66" spans="1:40" ht="15.75" customHeight="1" x14ac:dyDescent="0.35">
      <c r="A66" s="23"/>
      <c r="B66" s="23"/>
      <c r="C66" s="104" t="s">
        <v>158</v>
      </c>
      <c r="D66" s="105">
        <v>11</v>
      </c>
      <c r="E66" s="105">
        <v>1</v>
      </c>
      <c r="F66" s="106" t="s">
        <v>437</v>
      </c>
      <c r="G66" s="107">
        <v>12</v>
      </c>
      <c r="H66" s="181"/>
      <c r="I66" s="104">
        <f>$D$9*E66*'Vehicle Infos'!$L$10</f>
        <v>49.699558666666668</v>
      </c>
      <c r="J66" s="109"/>
      <c r="K66" s="23"/>
      <c r="L66" s="23"/>
      <c r="M66" s="101" t="s">
        <v>160</v>
      </c>
      <c r="N66" s="48">
        <v>15.5</v>
      </c>
      <c r="O66" s="51">
        <v>3.5</v>
      </c>
      <c r="P66" s="46" t="s">
        <v>321</v>
      </c>
      <c r="Q66" s="47">
        <v>10</v>
      </c>
      <c r="R66" s="181"/>
      <c r="S66" s="108">
        <f>$F$9*O66*'Vehicle Infos'!$L$21</f>
        <v>53.45415599999999</v>
      </c>
      <c r="T66" s="23"/>
      <c r="U66" s="23"/>
      <c r="V66" s="102" t="s">
        <v>162</v>
      </c>
      <c r="W66" s="48"/>
      <c r="X66" s="51">
        <f>SUM(X61:X65)</f>
        <v>12</v>
      </c>
      <c r="Y66" s="58"/>
      <c r="Z66" s="110">
        <f>SUM(Z61:Z65)</f>
        <v>54</v>
      </c>
      <c r="AA66" s="109"/>
      <c r="AB66" s="108">
        <f>$G$9*X66*'Vehicle Infos'!$L$29</f>
        <v>66.16770600000001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1:40" ht="15.75" customHeight="1" x14ac:dyDescent="0.35">
      <c r="A67" s="23"/>
      <c r="B67" s="23"/>
      <c r="C67" s="104" t="s">
        <v>163</v>
      </c>
      <c r="D67" s="105">
        <v>12</v>
      </c>
      <c r="E67" s="105">
        <v>1</v>
      </c>
      <c r="F67" s="106" t="s">
        <v>438</v>
      </c>
      <c r="G67" s="107">
        <v>4</v>
      </c>
      <c r="H67" s="181"/>
      <c r="I67" s="104">
        <f>$D$9*E67*'Vehicle Infos'!$L$10</f>
        <v>49.699558666666668</v>
      </c>
      <c r="J67" s="109"/>
      <c r="K67" s="23"/>
      <c r="L67" s="23"/>
      <c r="M67" s="101" t="s">
        <v>165</v>
      </c>
      <c r="N67" s="48">
        <v>18.5</v>
      </c>
      <c r="O67" s="51">
        <v>3</v>
      </c>
      <c r="P67" s="46" t="s">
        <v>439</v>
      </c>
      <c r="Q67" s="47">
        <v>13</v>
      </c>
      <c r="R67" s="193"/>
      <c r="S67" s="108">
        <f>$F$9*O67*'Vehicle Infos'!$L$21</f>
        <v>45.817847999999991</v>
      </c>
      <c r="T67" s="23"/>
      <c r="U67" s="23"/>
      <c r="V67" s="101"/>
      <c r="W67" s="48"/>
      <c r="X67" s="51"/>
      <c r="Y67" s="23"/>
      <c r="Z67" s="50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</row>
    <row r="68" spans="1:40" ht="15.75" customHeight="1" x14ac:dyDescent="0.35">
      <c r="A68" s="23"/>
      <c r="B68" s="23"/>
      <c r="C68" s="104" t="s">
        <v>167</v>
      </c>
      <c r="D68" s="105">
        <v>14</v>
      </c>
      <c r="E68" s="105">
        <v>2</v>
      </c>
      <c r="F68" s="106" t="s">
        <v>250</v>
      </c>
      <c r="G68" s="107">
        <v>8</v>
      </c>
      <c r="H68" s="181"/>
      <c r="I68" s="104">
        <f>$D$9*E68*'Vehicle Infos'!$L$10</f>
        <v>99.399117333333336</v>
      </c>
      <c r="J68" s="109"/>
      <c r="K68" s="23"/>
      <c r="L68" s="23"/>
      <c r="M68" s="102" t="s">
        <v>162</v>
      </c>
      <c r="N68" s="49"/>
      <c r="O68" s="45">
        <f>SUM(O61:O67)</f>
        <v>18.5</v>
      </c>
      <c r="P68" s="58"/>
      <c r="Q68" s="110">
        <f>SUM(Q62:Q67)</f>
        <v>45</v>
      </c>
      <c r="R68" s="109"/>
      <c r="S68" s="108">
        <f>$F$9*O68*'Vehicle Infos'!$L$21</f>
        <v>282.54339599999997</v>
      </c>
      <c r="T68" s="23"/>
      <c r="U68" s="23"/>
      <c r="V68" s="96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 spans="1:40" ht="15.75" customHeight="1" x14ac:dyDescent="0.35">
      <c r="A69" s="23"/>
      <c r="B69" s="23"/>
      <c r="C69" s="104" t="s">
        <v>169</v>
      </c>
      <c r="D69" s="105">
        <v>14.5</v>
      </c>
      <c r="E69" s="105">
        <v>0.5</v>
      </c>
      <c r="F69" s="106" t="s">
        <v>440</v>
      </c>
      <c r="G69" s="107">
        <v>2</v>
      </c>
      <c r="H69" s="181"/>
      <c r="I69" s="104">
        <f>$D$9*E69*'Vehicle Infos'!$L$10</f>
        <v>24.849779333333334</v>
      </c>
      <c r="J69" s="109"/>
      <c r="K69" s="23"/>
      <c r="L69" s="23"/>
      <c r="M69" s="96"/>
      <c r="N69" s="23"/>
      <c r="O69" s="23"/>
      <c r="P69" s="23"/>
      <c r="Q69" s="50"/>
      <c r="R69" s="23"/>
      <c r="S69" s="23"/>
      <c r="T69" s="23"/>
      <c r="U69" s="23"/>
      <c r="V69" s="96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</row>
    <row r="70" spans="1:40" ht="15.75" customHeight="1" x14ac:dyDescent="0.3">
      <c r="A70" s="23"/>
      <c r="B70" s="23"/>
      <c r="C70" s="104" t="s">
        <v>171</v>
      </c>
      <c r="D70" s="105">
        <v>15</v>
      </c>
      <c r="E70" s="105">
        <v>0.5</v>
      </c>
      <c r="F70" s="106" t="s">
        <v>384</v>
      </c>
      <c r="G70" s="107">
        <v>1</v>
      </c>
      <c r="H70" s="193"/>
      <c r="I70" s="104">
        <f>$D$9*E70*'Vehicle Infos'!$L$10</f>
        <v>24.849779333333334</v>
      </c>
      <c r="J70" s="109"/>
      <c r="K70" s="23"/>
      <c r="L70" s="23"/>
      <c r="M70" s="96"/>
      <c r="N70" s="23"/>
      <c r="O70" s="23"/>
      <c r="P70" s="23"/>
      <c r="Q70" s="23"/>
      <c r="R70" s="23"/>
      <c r="S70" s="23"/>
      <c r="T70" s="23"/>
      <c r="U70" s="23"/>
      <c r="V70" s="96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ht="15.75" customHeight="1" x14ac:dyDescent="0.3">
      <c r="A71" s="23"/>
      <c r="B71" s="23"/>
      <c r="C71" s="70" t="s">
        <v>162</v>
      </c>
      <c r="D71" s="108"/>
      <c r="E71" s="105">
        <v>15</v>
      </c>
      <c r="F71" s="111"/>
      <c r="G71" s="110">
        <f>SUM(G62:G70)</f>
        <v>46</v>
      </c>
      <c r="H71" s="107"/>
      <c r="I71" s="104">
        <f>$D$9*E71*'Vehicle Infos'!$L$10</f>
        <v>745.49338</v>
      </c>
      <c r="J71" s="112"/>
      <c r="K71" s="23"/>
      <c r="L71" s="23"/>
      <c r="M71" s="96"/>
      <c r="N71" s="23"/>
      <c r="O71" s="23"/>
      <c r="P71" s="23"/>
      <c r="Q71" s="23"/>
      <c r="R71" s="23"/>
      <c r="S71" s="23"/>
      <c r="T71" s="23"/>
      <c r="U71" s="23"/>
      <c r="V71" s="96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</row>
    <row r="72" spans="1:40" ht="15.7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96"/>
      <c r="N72" s="23"/>
      <c r="O72" s="23"/>
      <c r="P72" s="23"/>
      <c r="Q72" s="23"/>
      <c r="R72" s="23"/>
      <c r="S72" s="23"/>
      <c r="T72" s="23"/>
      <c r="U72" s="23"/>
      <c r="V72" s="96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15.7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96"/>
      <c r="N73" s="23"/>
      <c r="O73" s="23"/>
      <c r="P73" s="23"/>
      <c r="Q73" s="23"/>
      <c r="R73" s="23"/>
      <c r="S73" s="23"/>
      <c r="T73" s="23"/>
      <c r="U73" s="23"/>
      <c r="V73" s="96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</row>
    <row r="74" spans="1:40" ht="21.75" customHeight="1" x14ac:dyDescent="0.35">
      <c r="A74" s="23"/>
      <c r="B74" s="23"/>
      <c r="C74" s="32" t="s">
        <v>441</v>
      </c>
      <c r="D74" s="69"/>
      <c r="E74" s="69"/>
      <c r="F74" s="69"/>
      <c r="G74" s="69"/>
      <c r="H74" s="69"/>
      <c r="I74" s="69"/>
      <c r="J74" s="69"/>
      <c r="K74" s="23"/>
      <c r="L74" s="23"/>
      <c r="M74" s="97" t="s">
        <v>441</v>
      </c>
      <c r="N74" s="33"/>
      <c r="O74" s="33"/>
      <c r="P74" s="33"/>
      <c r="Q74" s="33"/>
      <c r="R74" s="33"/>
      <c r="S74" s="33"/>
      <c r="T74" s="23"/>
      <c r="U74" s="23"/>
      <c r="V74" s="97" t="s">
        <v>441</v>
      </c>
      <c r="W74" s="33"/>
      <c r="X74" s="33"/>
      <c r="Y74" s="33"/>
      <c r="Z74" s="33"/>
      <c r="AA74" s="33"/>
      <c r="AB74" s="3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66.75" customHeight="1" x14ac:dyDescent="0.3">
      <c r="A75" s="23"/>
      <c r="B75" s="23"/>
      <c r="C75" s="37" t="s">
        <v>176</v>
      </c>
      <c r="D75" s="38" t="s">
        <v>122</v>
      </c>
      <c r="E75" s="38" t="s">
        <v>129</v>
      </c>
      <c r="F75" s="38" t="s">
        <v>130</v>
      </c>
      <c r="G75" s="38" t="s">
        <v>131</v>
      </c>
      <c r="H75" s="38" t="s">
        <v>442</v>
      </c>
      <c r="I75" s="38" t="s">
        <v>442</v>
      </c>
      <c r="J75" s="103"/>
      <c r="K75" s="23"/>
      <c r="L75" s="23"/>
      <c r="M75" s="43" t="s">
        <v>177</v>
      </c>
      <c r="N75" s="38" t="s">
        <v>122</v>
      </c>
      <c r="O75" s="38" t="s">
        <v>129</v>
      </c>
      <c r="P75" s="38" t="s">
        <v>130</v>
      </c>
      <c r="Q75" s="38" t="s">
        <v>131</v>
      </c>
      <c r="R75" s="39" t="s">
        <v>126</v>
      </c>
      <c r="S75" s="40" t="s">
        <v>127</v>
      </c>
      <c r="T75" s="23"/>
      <c r="U75" s="23"/>
      <c r="V75" s="43" t="s">
        <v>178</v>
      </c>
      <c r="W75" s="38" t="s">
        <v>122</v>
      </c>
      <c r="X75" s="38" t="s">
        <v>129</v>
      </c>
      <c r="Y75" s="38" t="s">
        <v>130</v>
      </c>
      <c r="Z75" s="38" t="s">
        <v>131</v>
      </c>
      <c r="AA75" s="39" t="s">
        <v>126</v>
      </c>
      <c r="AB75" s="40" t="s">
        <v>127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</row>
    <row r="76" spans="1:40" ht="15.75" customHeight="1" x14ac:dyDescent="0.35">
      <c r="A76" s="23"/>
      <c r="B76" s="23"/>
      <c r="C76" s="104" t="s">
        <v>133</v>
      </c>
      <c r="D76" s="105">
        <v>0</v>
      </c>
      <c r="E76" s="105">
        <v>0</v>
      </c>
      <c r="F76" s="106" t="s">
        <v>259</v>
      </c>
      <c r="G76" s="107"/>
      <c r="H76" s="202">
        <f>D10*D3*'Vehicle Infos'!K10</f>
        <v>1423.0500000000002</v>
      </c>
      <c r="I76" s="104">
        <f>$D$10*E76*'Vehicle Infos'!$L$10</f>
        <v>0</v>
      </c>
      <c r="J76" s="104"/>
      <c r="K76" s="23"/>
      <c r="L76" s="23"/>
      <c r="M76" s="101" t="s">
        <v>135</v>
      </c>
      <c r="N76" s="48">
        <v>0</v>
      </c>
      <c r="O76" s="47">
        <v>0</v>
      </c>
      <c r="P76" s="46" t="s">
        <v>390</v>
      </c>
      <c r="Q76" s="107"/>
      <c r="R76" s="202">
        <f>F10*F3*'Vehicle Infos'!K21</f>
        <v>303.32114999999993</v>
      </c>
      <c r="S76" s="108">
        <f>$F$10*O76*'Vehicle Infos'!$L$21</f>
        <v>0</v>
      </c>
      <c r="T76" s="23"/>
      <c r="U76" s="23"/>
      <c r="V76" s="101" t="s">
        <v>136</v>
      </c>
      <c r="W76" s="48">
        <v>0</v>
      </c>
      <c r="X76" s="47">
        <v>0</v>
      </c>
      <c r="Y76" s="46" t="s">
        <v>390</v>
      </c>
      <c r="Z76" s="47">
        <v>0</v>
      </c>
      <c r="AA76" s="202">
        <f>G10*G3*'Vehicle Infos'!K29</f>
        <v>229.67999999999998</v>
      </c>
      <c r="AB76" s="108">
        <f>$G$10*X76*'Vehicle Infos'!$L$29</f>
        <v>0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15.75" customHeight="1" x14ac:dyDescent="0.35">
      <c r="A77" s="23"/>
      <c r="B77" s="23"/>
      <c r="C77" s="104" t="s">
        <v>137</v>
      </c>
      <c r="D77" s="105">
        <v>7.5</v>
      </c>
      <c r="E77" s="105">
        <v>7.5</v>
      </c>
      <c r="F77" s="106" t="s">
        <v>264</v>
      </c>
      <c r="G77" s="107">
        <v>7</v>
      </c>
      <c r="H77" s="181"/>
      <c r="I77" s="104">
        <f>$D$10*E77*'Vehicle Infos'!$L$10</f>
        <v>345.70807000000002</v>
      </c>
      <c r="J77" s="109"/>
      <c r="K77" s="23"/>
      <c r="L77" s="23"/>
      <c r="M77" s="101" t="s">
        <v>139</v>
      </c>
      <c r="N77" s="48">
        <v>1</v>
      </c>
      <c r="O77" s="47">
        <v>1</v>
      </c>
      <c r="P77" s="46" t="s">
        <v>443</v>
      </c>
      <c r="Q77" s="47">
        <v>2</v>
      </c>
      <c r="R77" s="181"/>
      <c r="S77" s="108">
        <f>$F$10*O77*'Vehicle Infos'!$L$21</f>
        <v>5.2726888571428567</v>
      </c>
      <c r="T77" s="23"/>
      <c r="U77" s="23"/>
      <c r="V77" s="101" t="s">
        <v>141</v>
      </c>
      <c r="W77" s="48">
        <v>3</v>
      </c>
      <c r="X77" s="51">
        <v>3</v>
      </c>
      <c r="Y77" s="46" t="s">
        <v>444</v>
      </c>
      <c r="Z77" s="47">
        <v>5</v>
      </c>
      <c r="AA77" s="181"/>
      <c r="AB77" s="108">
        <f>$G$10*X77*'Vehicle Infos'!$L$29</f>
        <v>14.536844500000001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</row>
    <row r="78" spans="1:40" ht="15.75" customHeight="1" x14ac:dyDescent="0.35">
      <c r="A78" s="23"/>
      <c r="B78" s="23"/>
      <c r="C78" s="104" t="s">
        <v>143</v>
      </c>
      <c r="D78" s="105">
        <v>8</v>
      </c>
      <c r="E78" s="105">
        <v>0.5</v>
      </c>
      <c r="F78" s="106" t="s">
        <v>445</v>
      </c>
      <c r="G78" s="107">
        <v>2</v>
      </c>
      <c r="H78" s="181"/>
      <c r="I78" s="104">
        <f>$D$10*E78*'Vehicle Infos'!$L$10</f>
        <v>23.047204666666666</v>
      </c>
      <c r="J78" s="109"/>
      <c r="K78" s="23"/>
      <c r="L78" s="23"/>
      <c r="M78" s="101" t="s">
        <v>145</v>
      </c>
      <c r="N78" s="48">
        <v>2.5</v>
      </c>
      <c r="O78" s="51">
        <v>1.5</v>
      </c>
      <c r="P78" s="46" t="s">
        <v>446</v>
      </c>
      <c r="Q78" s="47">
        <v>4</v>
      </c>
      <c r="R78" s="181"/>
      <c r="S78" s="108">
        <f>$F$10*O78*'Vehicle Infos'!$L$21</f>
        <v>7.9090332857142842</v>
      </c>
      <c r="T78" s="23"/>
      <c r="U78" s="23"/>
      <c r="V78" s="101" t="s">
        <v>146</v>
      </c>
      <c r="W78" s="48">
        <v>5.5</v>
      </c>
      <c r="X78" s="51">
        <v>2.5</v>
      </c>
      <c r="Y78" s="46" t="s">
        <v>337</v>
      </c>
      <c r="Z78" s="47">
        <v>7</v>
      </c>
      <c r="AA78" s="181"/>
      <c r="AB78" s="108">
        <f>$G$10*X78*'Vehicle Infos'!$L$29</f>
        <v>12.114037083333335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15.75" customHeight="1" x14ac:dyDescent="0.35">
      <c r="A79" s="23"/>
      <c r="B79" s="23"/>
      <c r="C79" s="104" t="s">
        <v>148</v>
      </c>
      <c r="D79" s="105">
        <v>9</v>
      </c>
      <c r="E79" s="105">
        <v>1</v>
      </c>
      <c r="F79" s="106" t="s">
        <v>447</v>
      </c>
      <c r="G79" s="107">
        <v>4</v>
      </c>
      <c r="H79" s="181"/>
      <c r="I79" s="104">
        <f>$D$10*E79*'Vehicle Infos'!$L$10</f>
        <v>46.094409333333331</v>
      </c>
      <c r="J79" s="109"/>
      <c r="K79" s="23"/>
      <c r="L79" s="23"/>
      <c r="M79" s="101" t="s">
        <v>150</v>
      </c>
      <c r="N79" s="48">
        <v>9</v>
      </c>
      <c r="O79" s="51">
        <v>6.5</v>
      </c>
      <c r="P79" s="46" t="s">
        <v>448</v>
      </c>
      <c r="Q79" s="47">
        <v>9</v>
      </c>
      <c r="R79" s="181"/>
      <c r="S79" s="108">
        <f>$F$10*O79*'Vehicle Infos'!$L$21</f>
        <v>34.272477571428567</v>
      </c>
      <c r="T79" s="23"/>
      <c r="U79" s="23"/>
      <c r="V79" s="101" t="s">
        <v>151</v>
      </c>
      <c r="W79" s="48">
        <v>7.5</v>
      </c>
      <c r="X79" s="51">
        <v>2</v>
      </c>
      <c r="Y79" s="46" t="s">
        <v>393</v>
      </c>
      <c r="Z79" s="47">
        <v>9</v>
      </c>
      <c r="AA79" s="181"/>
      <c r="AB79" s="108">
        <f>$G$10*X79*'Vehicle Infos'!$L$29</f>
        <v>9.6912296666666666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</row>
    <row r="80" spans="1:40" ht="15.75" customHeight="1" x14ac:dyDescent="0.35">
      <c r="A80" s="23"/>
      <c r="B80" s="23"/>
      <c r="C80" s="104" t="s">
        <v>153</v>
      </c>
      <c r="D80" s="105">
        <v>10</v>
      </c>
      <c r="E80" s="105">
        <v>1</v>
      </c>
      <c r="F80" s="106" t="s">
        <v>392</v>
      </c>
      <c r="G80" s="107">
        <v>2</v>
      </c>
      <c r="H80" s="181"/>
      <c r="I80" s="104">
        <f>$D$10*E80*'Vehicle Infos'!$L$10</f>
        <v>46.094409333333331</v>
      </c>
      <c r="J80" s="109"/>
      <c r="K80" s="23"/>
      <c r="L80" s="23"/>
      <c r="M80" s="101" t="s">
        <v>155</v>
      </c>
      <c r="N80" s="48">
        <v>12</v>
      </c>
      <c r="O80" s="51">
        <v>3</v>
      </c>
      <c r="P80" s="46" t="s">
        <v>449</v>
      </c>
      <c r="Q80" s="47">
        <v>5</v>
      </c>
      <c r="R80" s="181"/>
      <c r="S80" s="108">
        <f>$F$10*O80*'Vehicle Infos'!$L$21</f>
        <v>15.818066571428568</v>
      </c>
      <c r="T80" s="23"/>
      <c r="U80" s="23"/>
      <c r="V80" s="101" t="s">
        <v>156</v>
      </c>
      <c r="W80" s="48">
        <v>12</v>
      </c>
      <c r="X80" s="51">
        <v>4.5</v>
      </c>
      <c r="Y80" s="46" t="s">
        <v>450</v>
      </c>
      <c r="Z80" s="47">
        <v>19</v>
      </c>
      <c r="AA80" s="193"/>
      <c r="AB80" s="108">
        <f>$G$10*X80*'Vehicle Infos'!$L$29</f>
        <v>21.805266750000001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15.75" customHeight="1" x14ac:dyDescent="0.35">
      <c r="A81" s="23"/>
      <c r="B81" s="23"/>
      <c r="C81" s="104" t="s">
        <v>158</v>
      </c>
      <c r="D81" s="105">
        <v>11</v>
      </c>
      <c r="E81" s="105">
        <v>1</v>
      </c>
      <c r="F81" s="106" t="s">
        <v>268</v>
      </c>
      <c r="G81" s="107">
        <v>6</v>
      </c>
      <c r="H81" s="181"/>
      <c r="I81" s="104">
        <f>$D$10*E81*'Vehicle Infos'!$L$10</f>
        <v>46.094409333333331</v>
      </c>
      <c r="J81" s="109"/>
      <c r="K81" s="23"/>
      <c r="L81" s="23"/>
      <c r="M81" s="101" t="s">
        <v>160</v>
      </c>
      <c r="N81" s="48">
        <v>15.5</v>
      </c>
      <c r="O81" s="51">
        <v>3.5</v>
      </c>
      <c r="P81" s="46" t="s">
        <v>451</v>
      </c>
      <c r="Q81" s="47">
        <v>5</v>
      </c>
      <c r="R81" s="181"/>
      <c r="S81" s="108">
        <f>$F$10*O81*'Vehicle Infos'!$L$21</f>
        <v>18.454410999999997</v>
      </c>
      <c r="T81" s="23"/>
      <c r="U81" s="23"/>
      <c r="V81" s="102" t="s">
        <v>162</v>
      </c>
      <c r="W81" s="48"/>
      <c r="X81" s="51">
        <f>SUM(X76:X80)</f>
        <v>12</v>
      </c>
      <c r="Y81" s="46"/>
      <c r="Z81" s="75">
        <f>SUM(Z76:Z80)</f>
        <v>40</v>
      </c>
      <c r="AA81" s="109"/>
      <c r="AB81" s="108">
        <f>$G$10*X81*'Vehicle Infos'!$L$29</f>
        <v>58.147378000000003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</row>
    <row r="82" spans="1:40" ht="15.75" customHeight="1" x14ac:dyDescent="0.35">
      <c r="A82" s="23"/>
      <c r="B82" s="23"/>
      <c r="C82" s="104" t="s">
        <v>163</v>
      </c>
      <c r="D82" s="105">
        <v>12</v>
      </c>
      <c r="E82" s="105">
        <v>1</v>
      </c>
      <c r="F82" s="106" t="s">
        <v>452</v>
      </c>
      <c r="G82" s="107">
        <v>4</v>
      </c>
      <c r="H82" s="181"/>
      <c r="I82" s="104">
        <f>$D$10*E82*'Vehicle Infos'!$L$10</f>
        <v>46.094409333333331</v>
      </c>
      <c r="J82" s="109"/>
      <c r="K82" s="23"/>
      <c r="L82" s="23"/>
      <c r="M82" s="101" t="s">
        <v>165</v>
      </c>
      <c r="N82" s="48">
        <v>18.5</v>
      </c>
      <c r="O82" s="51">
        <v>3</v>
      </c>
      <c r="P82" s="46" t="s">
        <v>453</v>
      </c>
      <c r="Q82" s="47">
        <v>6</v>
      </c>
      <c r="R82" s="193"/>
      <c r="S82" s="108">
        <f>$F$10*O82*'Vehicle Infos'!$L$21</f>
        <v>15.818066571428568</v>
      </c>
      <c r="T82" s="23"/>
      <c r="U82" s="23"/>
      <c r="V82" s="101"/>
      <c r="W82" s="48"/>
      <c r="X82" s="51"/>
      <c r="Y82" s="106"/>
      <c r="Z82" s="107"/>
      <c r="AA82" s="109"/>
      <c r="AB82" s="108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15.75" customHeight="1" x14ac:dyDescent="0.35">
      <c r="A83" s="23"/>
      <c r="B83" s="23"/>
      <c r="C83" s="104" t="s">
        <v>167</v>
      </c>
      <c r="D83" s="105">
        <v>14</v>
      </c>
      <c r="E83" s="105">
        <v>2</v>
      </c>
      <c r="F83" s="106" t="s">
        <v>390</v>
      </c>
      <c r="G83" s="107">
        <v>5</v>
      </c>
      <c r="H83" s="181"/>
      <c r="I83" s="104">
        <f>$D$10*E83*'Vehicle Infos'!$L$10</f>
        <v>92.188818666666663</v>
      </c>
      <c r="J83" s="109"/>
      <c r="K83" s="23"/>
      <c r="L83" s="23"/>
      <c r="M83" s="102" t="s">
        <v>162</v>
      </c>
      <c r="N83" s="49"/>
      <c r="O83" s="45">
        <f>SUM(O76:O82)</f>
        <v>18.5</v>
      </c>
      <c r="P83" s="58"/>
      <c r="Q83" s="110">
        <f>SUM(Q77:Q82)</f>
        <v>31</v>
      </c>
      <c r="R83" s="109"/>
      <c r="S83" s="108">
        <f>$F$10*O83*'Vehicle Infos'!$L$21</f>
        <v>97.544743857142848</v>
      </c>
      <c r="T83" s="23"/>
      <c r="U83" s="23"/>
      <c r="V83" s="114"/>
      <c r="W83" s="105"/>
      <c r="X83" s="105"/>
      <c r="Y83" s="106"/>
      <c r="Z83" s="107"/>
      <c r="AA83" s="109"/>
      <c r="AB83" s="108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 spans="1:40" ht="15.75" customHeight="1" x14ac:dyDescent="0.3">
      <c r="A84" s="23"/>
      <c r="B84" s="23"/>
      <c r="C84" s="104" t="s">
        <v>169</v>
      </c>
      <c r="D84" s="105">
        <v>14.5</v>
      </c>
      <c r="E84" s="105">
        <v>0.5</v>
      </c>
      <c r="F84" s="106" t="s">
        <v>443</v>
      </c>
      <c r="G84" s="107">
        <v>2</v>
      </c>
      <c r="H84" s="181"/>
      <c r="I84" s="104">
        <f>$D$10*E84*'Vehicle Infos'!$L$10</f>
        <v>23.047204666666666</v>
      </c>
      <c r="J84" s="109"/>
      <c r="K84" s="23"/>
      <c r="L84" s="23"/>
      <c r="M84" s="114"/>
      <c r="N84" s="105"/>
      <c r="O84" s="105"/>
      <c r="P84" s="106"/>
      <c r="Q84" s="107"/>
      <c r="R84" s="109"/>
      <c r="S84" s="108"/>
      <c r="T84" s="23"/>
      <c r="U84" s="23"/>
      <c r="V84" s="115"/>
      <c r="W84" s="108"/>
      <c r="X84" s="105"/>
      <c r="Y84" s="111"/>
      <c r="Z84" s="110"/>
      <c r="AA84" s="107"/>
      <c r="AB84" s="107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15.75" customHeight="1" x14ac:dyDescent="0.3">
      <c r="A85" s="23"/>
      <c r="B85" s="23"/>
      <c r="C85" s="104" t="s">
        <v>171</v>
      </c>
      <c r="D85" s="105">
        <v>15</v>
      </c>
      <c r="E85" s="105">
        <v>0.5</v>
      </c>
      <c r="F85" s="106" t="s">
        <v>258</v>
      </c>
      <c r="G85" s="107">
        <v>2</v>
      </c>
      <c r="H85" s="193"/>
      <c r="I85" s="104">
        <f>$D$10*E85*'Vehicle Infos'!$L$10</f>
        <v>23.047204666666666</v>
      </c>
      <c r="J85" s="109"/>
      <c r="K85" s="23"/>
      <c r="L85" s="23"/>
      <c r="M85" s="96"/>
      <c r="N85" s="23"/>
      <c r="O85" s="23"/>
      <c r="P85" s="23"/>
      <c r="Q85" s="23"/>
      <c r="R85" s="23"/>
      <c r="S85" s="23"/>
      <c r="T85" s="23"/>
      <c r="U85" s="23"/>
      <c r="V85" s="96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</row>
    <row r="86" spans="1:40" ht="15.75" customHeight="1" x14ac:dyDescent="0.3">
      <c r="A86" s="23"/>
      <c r="B86" s="23"/>
      <c r="C86" s="70" t="s">
        <v>162</v>
      </c>
      <c r="D86" s="108"/>
      <c r="E86" s="105">
        <v>15</v>
      </c>
      <c r="F86" s="111"/>
      <c r="G86" s="110">
        <f>SUM(G77:G85)</f>
        <v>34</v>
      </c>
      <c r="H86" s="107"/>
      <c r="I86" s="104">
        <f>$D$10*E86*'Vehicle Infos'!$L$10</f>
        <v>691.41614000000004</v>
      </c>
      <c r="J86" s="112"/>
      <c r="K86" s="23"/>
      <c r="L86" s="23"/>
      <c r="M86" s="96"/>
      <c r="N86" s="23"/>
      <c r="O86" s="23"/>
      <c r="P86" s="23"/>
      <c r="Q86" s="23"/>
      <c r="R86" s="23"/>
      <c r="S86" s="23"/>
      <c r="T86" s="23"/>
      <c r="U86" s="23"/>
      <c r="V86" s="96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15.7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96"/>
      <c r="N87" s="23"/>
      <c r="O87" s="23"/>
      <c r="P87" s="23"/>
      <c r="Q87" s="23"/>
      <c r="R87" s="23"/>
      <c r="S87" s="23"/>
      <c r="T87" s="23"/>
      <c r="U87" s="23"/>
      <c r="V87" s="96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</row>
    <row r="88" spans="1:40" ht="15.7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96"/>
      <c r="N88" s="23"/>
      <c r="O88" s="23"/>
      <c r="P88" s="23"/>
      <c r="Q88" s="23"/>
      <c r="R88" s="23"/>
      <c r="S88" s="23"/>
      <c r="T88" s="23"/>
      <c r="U88" s="23"/>
      <c r="V88" s="96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 spans="1:40" ht="15.7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96"/>
      <c r="N89" s="23"/>
      <c r="O89" s="23"/>
      <c r="P89" s="23"/>
      <c r="Q89" s="23"/>
      <c r="R89" s="23"/>
      <c r="S89" s="23"/>
      <c r="T89" s="23"/>
      <c r="U89" s="23"/>
      <c r="V89" s="96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</row>
    <row r="90" spans="1:40" ht="15.7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96"/>
      <c r="N90" s="23"/>
      <c r="O90" s="23"/>
      <c r="P90" s="23"/>
      <c r="Q90" s="23"/>
      <c r="R90" s="23"/>
      <c r="S90" s="23"/>
      <c r="T90" s="23"/>
      <c r="U90" s="23"/>
      <c r="V90" s="96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</row>
    <row r="91" spans="1:40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96"/>
      <c r="N91" s="23"/>
      <c r="O91" s="23"/>
      <c r="P91" s="23"/>
      <c r="Q91" s="23"/>
      <c r="R91" s="23"/>
      <c r="S91" s="23"/>
      <c r="T91" s="23"/>
      <c r="U91" s="23"/>
      <c r="V91" s="96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</row>
    <row r="92" spans="1:40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96"/>
      <c r="N92" s="23"/>
      <c r="O92" s="23"/>
      <c r="P92" s="23"/>
      <c r="Q92" s="23"/>
      <c r="R92" s="23"/>
      <c r="S92" s="23"/>
      <c r="T92" s="23"/>
      <c r="U92" s="23"/>
      <c r="V92" s="96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96"/>
      <c r="N93" s="23"/>
      <c r="O93" s="23"/>
      <c r="P93" s="23"/>
      <c r="Q93" s="23"/>
      <c r="R93" s="23"/>
      <c r="S93" s="23"/>
      <c r="T93" s="23"/>
      <c r="U93" s="23"/>
      <c r="V93" s="96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</row>
    <row r="94" spans="1:40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96"/>
      <c r="N94" s="23"/>
      <c r="O94" s="23"/>
      <c r="P94" s="23"/>
      <c r="Q94" s="23"/>
      <c r="R94" s="23"/>
      <c r="S94" s="23"/>
      <c r="T94" s="23"/>
      <c r="U94" s="23"/>
      <c r="V94" s="96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96"/>
      <c r="N95" s="23"/>
      <c r="O95" s="23"/>
      <c r="P95" s="23"/>
      <c r="Q95" s="23"/>
      <c r="R95" s="23"/>
      <c r="S95" s="23"/>
      <c r="T95" s="23"/>
      <c r="U95" s="23"/>
      <c r="V95" s="96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</row>
    <row r="96" spans="1:40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96"/>
      <c r="N96" s="23"/>
      <c r="O96" s="23"/>
      <c r="P96" s="23"/>
      <c r="Q96" s="23"/>
      <c r="R96" s="23"/>
      <c r="S96" s="23"/>
      <c r="T96" s="23"/>
      <c r="U96" s="23"/>
      <c r="V96" s="96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96"/>
      <c r="N97" s="23"/>
      <c r="O97" s="23"/>
      <c r="P97" s="23"/>
      <c r="Q97" s="23"/>
      <c r="R97" s="23"/>
      <c r="S97" s="23"/>
      <c r="T97" s="23"/>
      <c r="U97" s="23"/>
      <c r="V97" s="96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</row>
    <row r="98" spans="1:40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96"/>
      <c r="N98" s="23"/>
      <c r="O98" s="23"/>
      <c r="P98" s="23"/>
      <c r="Q98" s="23"/>
      <c r="R98" s="23"/>
      <c r="S98" s="23"/>
      <c r="T98" s="23"/>
      <c r="U98" s="23"/>
      <c r="V98" s="96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96"/>
      <c r="N99" s="23"/>
      <c r="O99" s="23"/>
      <c r="P99" s="23"/>
      <c r="Q99" s="23"/>
      <c r="R99" s="23"/>
      <c r="S99" s="23"/>
      <c r="T99" s="23"/>
      <c r="U99" s="23"/>
      <c r="V99" s="96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</row>
    <row r="100" spans="1:40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96"/>
      <c r="N100" s="23"/>
      <c r="O100" s="23"/>
      <c r="P100" s="23"/>
      <c r="Q100" s="23"/>
      <c r="R100" s="23"/>
      <c r="S100" s="23"/>
      <c r="T100" s="23"/>
      <c r="U100" s="23"/>
      <c r="V100" s="96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 spans="1:40" ht="15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96"/>
      <c r="N101" s="23"/>
      <c r="O101" s="23"/>
      <c r="P101" s="23"/>
      <c r="Q101" s="23"/>
      <c r="R101" s="23"/>
      <c r="S101" s="23"/>
      <c r="T101" s="23"/>
      <c r="U101" s="23"/>
      <c r="V101" s="96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</row>
    <row r="102" spans="1:40" ht="15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96"/>
      <c r="N102" s="23"/>
      <c r="O102" s="23"/>
      <c r="P102" s="23"/>
      <c r="Q102" s="23"/>
      <c r="R102" s="23"/>
      <c r="S102" s="23"/>
      <c r="T102" s="23"/>
      <c r="U102" s="23"/>
      <c r="V102" s="96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 spans="1:40" ht="15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96"/>
      <c r="N103" s="23"/>
      <c r="O103" s="23"/>
      <c r="P103" s="23"/>
      <c r="Q103" s="23"/>
      <c r="R103" s="23"/>
      <c r="S103" s="23"/>
      <c r="T103" s="23"/>
      <c r="U103" s="23"/>
      <c r="V103" s="96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</row>
    <row r="104" spans="1:40" ht="15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96"/>
      <c r="N104" s="23"/>
      <c r="O104" s="23"/>
      <c r="P104" s="23"/>
      <c r="Q104" s="23"/>
      <c r="R104" s="23"/>
      <c r="S104" s="23"/>
      <c r="T104" s="23"/>
      <c r="U104" s="23"/>
      <c r="V104" s="96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 spans="1:40" ht="15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96"/>
      <c r="N105" s="23"/>
      <c r="O105" s="23"/>
      <c r="P105" s="23"/>
      <c r="Q105" s="23"/>
      <c r="R105" s="23"/>
      <c r="S105" s="23"/>
      <c r="T105" s="23"/>
      <c r="U105" s="23"/>
      <c r="V105" s="96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</row>
    <row r="106" spans="1:40" ht="15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96"/>
      <c r="N106" s="23"/>
      <c r="O106" s="23"/>
      <c r="P106" s="23"/>
      <c r="Q106" s="23"/>
      <c r="R106" s="23"/>
      <c r="S106" s="23"/>
      <c r="T106" s="23"/>
      <c r="U106" s="23"/>
      <c r="V106" s="96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 spans="1:40" ht="15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96"/>
      <c r="N107" s="23"/>
      <c r="O107" s="23"/>
      <c r="P107" s="23"/>
      <c r="Q107" s="23"/>
      <c r="R107" s="23"/>
      <c r="S107" s="23"/>
      <c r="T107" s="23"/>
      <c r="U107" s="23"/>
      <c r="V107" s="96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</row>
    <row r="108" spans="1:40" ht="15.7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96"/>
      <c r="N108" s="23"/>
      <c r="O108" s="23"/>
      <c r="P108" s="23"/>
      <c r="Q108" s="23"/>
      <c r="R108" s="23"/>
      <c r="S108" s="23"/>
      <c r="T108" s="23"/>
      <c r="U108" s="23"/>
      <c r="V108" s="96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 spans="1:40" ht="15.7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96"/>
      <c r="N109" s="23"/>
      <c r="O109" s="23"/>
      <c r="P109" s="23"/>
      <c r="Q109" s="23"/>
      <c r="R109" s="23"/>
      <c r="S109" s="23"/>
      <c r="T109" s="23"/>
      <c r="U109" s="23"/>
      <c r="V109" s="96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</row>
    <row r="110" spans="1:40" ht="15.7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96"/>
      <c r="N110" s="23"/>
      <c r="O110" s="23"/>
      <c r="P110" s="23"/>
      <c r="Q110" s="23"/>
      <c r="R110" s="23"/>
      <c r="S110" s="23"/>
      <c r="T110" s="23"/>
      <c r="U110" s="23"/>
      <c r="V110" s="96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 spans="1:40" ht="15.7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96"/>
      <c r="N111" s="23"/>
      <c r="O111" s="23"/>
      <c r="P111" s="23"/>
      <c r="Q111" s="23"/>
      <c r="R111" s="23"/>
      <c r="S111" s="23"/>
      <c r="T111" s="23"/>
      <c r="U111" s="23"/>
      <c r="V111" s="96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</row>
    <row r="112" spans="1:40" ht="15.7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96"/>
      <c r="N112" s="23"/>
      <c r="O112" s="23"/>
      <c r="P112" s="23"/>
      <c r="Q112" s="23"/>
      <c r="R112" s="23"/>
      <c r="S112" s="23"/>
      <c r="T112" s="23"/>
      <c r="U112" s="23"/>
      <c r="V112" s="96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40" ht="15.7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96"/>
      <c r="N113" s="23"/>
      <c r="O113" s="23"/>
      <c r="P113" s="23"/>
      <c r="Q113" s="23"/>
      <c r="R113" s="23"/>
      <c r="S113" s="23"/>
      <c r="T113" s="23"/>
      <c r="U113" s="23"/>
      <c r="V113" s="96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</row>
    <row r="114" spans="1:40" ht="15.7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96"/>
      <c r="N114" s="23"/>
      <c r="O114" s="23"/>
      <c r="P114" s="23"/>
      <c r="Q114" s="23"/>
      <c r="R114" s="23"/>
      <c r="S114" s="23"/>
      <c r="T114" s="23"/>
      <c r="U114" s="23"/>
      <c r="V114" s="96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 spans="1:40" ht="15.7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96"/>
      <c r="N115" s="23"/>
      <c r="O115" s="23"/>
      <c r="P115" s="23"/>
      <c r="Q115" s="23"/>
      <c r="R115" s="23"/>
      <c r="S115" s="23"/>
      <c r="T115" s="23"/>
      <c r="U115" s="23"/>
      <c r="V115" s="96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</row>
    <row r="116" spans="1:40" ht="15.7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96"/>
      <c r="N116" s="23"/>
      <c r="O116" s="23"/>
      <c r="P116" s="23"/>
      <c r="Q116" s="23"/>
      <c r="R116" s="23"/>
      <c r="S116" s="23"/>
      <c r="T116" s="23"/>
      <c r="U116" s="23"/>
      <c r="V116" s="96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 spans="1:40" ht="15.7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96"/>
      <c r="N117" s="23"/>
      <c r="O117" s="23"/>
      <c r="P117" s="23"/>
      <c r="Q117" s="23"/>
      <c r="R117" s="23"/>
      <c r="S117" s="23"/>
      <c r="T117" s="23"/>
      <c r="U117" s="23"/>
      <c r="V117" s="96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</row>
    <row r="118" spans="1:40" ht="15.7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96"/>
      <c r="N118" s="23"/>
      <c r="O118" s="23"/>
      <c r="P118" s="23"/>
      <c r="Q118" s="23"/>
      <c r="R118" s="23"/>
      <c r="S118" s="23"/>
      <c r="T118" s="23"/>
      <c r="U118" s="23"/>
      <c r="V118" s="96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 spans="1:40" ht="15.7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96"/>
      <c r="N119" s="23"/>
      <c r="O119" s="23"/>
      <c r="P119" s="23"/>
      <c r="Q119" s="23"/>
      <c r="R119" s="23"/>
      <c r="S119" s="23"/>
      <c r="T119" s="23"/>
      <c r="U119" s="23"/>
      <c r="V119" s="96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</row>
    <row r="120" spans="1:40" ht="15.7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96"/>
      <c r="N120" s="23"/>
      <c r="O120" s="23"/>
      <c r="P120" s="23"/>
      <c r="Q120" s="23"/>
      <c r="R120" s="23"/>
      <c r="S120" s="23"/>
      <c r="T120" s="23"/>
      <c r="U120" s="23"/>
      <c r="V120" s="96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 spans="1:40" ht="15.7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96"/>
      <c r="N121" s="23"/>
      <c r="O121" s="23"/>
      <c r="P121" s="23"/>
      <c r="Q121" s="23"/>
      <c r="R121" s="23"/>
      <c r="S121" s="23"/>
      <c r="T121" s="23"/>
      <c r="U121" s="23"/>
      <c r="V121" s="96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</row>
    <row r="122" spans="1:40" ht="15.7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96"/>
      <c r="N122" s="23"/>
      <c r="O122" s="23"/>
      <c r="P122" s="23"/>
      <c r="Q122" s="23"/>
      <c r="R122" s="23"/>
      <c r="S122" s="23"/>
      <c r="T122" s="23"/>
      <c r="U122" s="23"/>
      <c r="V122" s="96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 spans="1:40" ht="15.7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96"/>
      <c r="N123" s="23"/>
      <c r="O123" s="23"/>
      <c r="P123" s="23"/>
      <c r="Q123" s="23"/>
      <c r="R123" s="23"/>
      <c r="S123" s="23"/>
      <c r="T123" s="23"/>
      <c r="U123" s="23"/>
      <c r="V123" s="96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</row>
    <row r="124" spans="1:40" ht="15.7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96"/>
      <c r="N124" s="23"/>
      <c r="O124" s="23"/>
      <c r="P124" s="23"/>
      <c r="Q124" s="23"/>
      <c r="R124" s="23"/>
      <c r="S124" s="23"/>
      <c r="T124" s="23"/>
      <c r="U124" s="23"/>
      <c r="V124" s="96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 spans="1:40" ht="15.7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96"/>
      <c r="N125" s="23"/>
      <c r="O125" s="23"/>
      <c r="P125" s="23"/>
      <c r="Q125" s="23"/>
      <c r="R125" s="23"/>
      <c r="S125" s="23"/>
      <c r="T125" s="23"/>
      <c r="U125" s="23"/>
      <c r="V125" s="96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</row>
    <row r="126" spans="1:40" ht="15.7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96"/>
      <c r="N126" s="23"/>
      <c r="O126" s="23"/>
      <c r="P126" s="23"/>
      <c r="Q126" s="23"/>
      <c r="R126" s="23"/>
      <c r="S126" s="23"/>
      <c r="T126" s="23"/>
      <c r="U126" s="23"/>
      <c r="V126" s="96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 spans="1:40" ht="15.7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96"/>
      <c r="N127" s="23"/>
      <c r="O127" s="23"/>
      <c r="P127" s="23"/>
      <c r="Q127" s="23"/>
      <c r="R127" s="23"/>
      <c r="S127" s="23"/>
      <c r="T127" s="23"/>
      <c r="U127" s="23"/>
      <c r="V127" s="96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</row>
    <row r="128" spans="1:40" ht="15.7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96"/>
      <c r="N128" s="23"/>
      <c r="O128" s="23"/>
      <c r="P128" s="23"/>
      <c r="Q128" s="23"/>
      <c r="R128" s="23"/>
      <c r="S128" s="23"/>
      <c r="T128" s="23"/>
      <c r="U128" s="23"/>
      <c r="V128" s="96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 spans="1:40" ht="15.7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96"/>
      <c r="N129" s="23"/>
      <c r="O129" s="23"/>
      <c r="P129" s="23"/>
      <c r="Q129" s="23"/>
      <c r="R129" s="23"/>
      <c r="S129" s="23"/>
      <c r="T129" s="23"/>
      <c r="U129" s="23"/>
      <c r="V129" s="96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</row>
    <row r="130" spans="1:40" ht="15.7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96"/>
      <c r="N130" s="23"/>
      <c r="O130" s="23"/>
      <c r="P130" s="23"/>
      <c r="Q130" s="23"/>
      <c r="R130" s="23"/>
      <c r="S130" s="23"/>
      <c r="T130" s="23"/>
      <c r="U130" s="23"/>
      <c r="V130" s="96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</row>
    <row r="131" spans="1:40" ht="15.7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96"/>
      <c r="N131" s="23"/>
      <c r="O131" s="23"/>
      <c r="P131" s="23"/>
      <c r="Q131" s="23"/>
      <c r="R131" s="23"/>
      <c r="S131" s="23"/>
      <c r="T131" s="23"/>
      <c r="U131" s="23"/>
      <c r="V131" s="96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</row>
    <row r="132" spans="1:40" ht="15.7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96"/>
      <c r="N132" s="23"/>
      <c r="O132" s="23"/>
      <c r="P132" s="23"/>
      <c r="Q132" s="23"/>
      <c r="R132" s="23"/>
      <c r="S132" s="23"/>
      <c r="T132" s="23"/>
      <c r="U132" s="23"/>
      <c r="V132" s="96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</row>
    <row r="133" spans="1:40" ht="15.7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96"/>
      <c r="N133" s="23"/>
      <c r="O133" s="23"/>
      <c r="P133" s="23"/>
      <c r="Q133" s="23"/>
      <c r="R133" s="23"/>
      <c r="S133" s="23"/>
      <c r="T133" s="23"/>
      <c r="U133" s="23"/>
      <c r="V133" s="96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</row>
    <row r="134" spans="1:40" ht="15.7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96"/>
      <c r="N134" s="23"/>
      <c r="O134" s="23"/>
      <c r="P134" s="23"/>
      <c r="Q134" s="23"/>
      <c r="R134" s="23"/>
      <c r="S134" s="23"/>
      <c r="T134" s="23"/>
      <c r="U134" s="23"/>
      <c r="V134" s="96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</row>
    <row r="135" spans="1:40" ht="15.7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96"/>
      <c r="N135" s="23"/>
      <c r="O135" s="23"/>
      <c r="P135" s="23"/>
      <c r="Q135" s="23"/>
      <c r="R135" s="23"/>
      <c r="S135" s="23"/>
      <c r="T135" s="23"/>
      <c r="U135" s="23"/>
      <c r="V135" s="96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</row>
    <row r="136" spans="1:40" ht="15.7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96"/>
      <c r="N136" s="23"/>
      <c r="O136" s="23"/>
      <c r="P136" s="23"/>
      <c r="Q136" s="23"/>
      <c r="R136" s="23"/>
      <c r="S136" s="23"/>
      <c r="T136" s="23"/>
      <c r="U136" s="23"/>
      <c r="V136" s="96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</row>
    <row r="137" spans="1:40" ht="15.7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96"/>
      <c r="N137" s="23"/>
      <c r="O137" s="23"/>
      <c r="P137" s="23"/>
      <c r="Q137" s="23"/>
      <c r="R137" s="23"/>
      <c r="S137" s="23"/>
      <c r="T137" s="23"/>
      <c r="U137" s="23"/>
      <c r="V137" s="96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</row>
    <row r="138" spans="1:40" ht="15.7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96"/>
      <c r="N138" s="23"/>
      <c r="O138" s="23"/>
      <c r="P138" s="23"/>
      <c r="Q138" s="23"/>
      <c r="R138" s="23"/>
      <c r="S138" s="23"/>
      <c r="T138" s="23"/>
      <c r="U138" s="23"/>
      <c r="V138" s="96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</row>
    <row r="139" spans="1:40" ht="15.7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96"/>
      <c r="N139" s="23"/>
      <c r="O139" s="23"/>
      <c r="P139" s="23"/>
      <c r="Q139" s="23"/>
      <c r="R139" s="23"/>
      <c r="S139" s="23"/>
      <c r="T139" s="23"/>
      <c r="U139" s="23"/>
      <c r="V139" s="96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</row>
    <row r="140" spans="1:40" ht="15.7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96"/>
      <c r="N140" s="23"/>
      <c r="O140" s="23"/>
      <c r="P140" s="23"/>
      <c r="Q140" s="23"/>
      <c r="R140" s="23"/>
      <c r="S140" s="23"/>
      <c r="T140" s="23"/>
      <c r="U140" s="23"/>
      <c r="V140" s="96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</row>
    <row r="141" spans="1:40" ht="15.7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96"/>
      <c r="N141" s="23"/>
      <c r="O141" s="23"/>
      <c r="P141" s="23"/>
      <c r="Q141" s="23"/>
      <c r="R141" s="23"/>
      <c r="S141" s="23"/>
      <c r="T141" s="23"/>
      <c r="U141" s="23"/>
      <c r="V141" s="96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</row>
    <row r="142" spans="1:40" ht="15.7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96"/>
      <c r="N142" s="23"/>
      <c r="O142" s="23"/>
      <c r="P142" s="23"/>
      <c r="Q142" s="23"/>
      <c r="R142" s="23"/>
      <c r="S142" s="23"/>
      <c r="T142" s="23"/>
      <c r="U142" s="23"/>
      <c r="V142" s="96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</row>
    <row r="143" spans="1:40" ht="15.7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96"/>
      <c r="N143" s="23"/>
      <c r="O143" s="23"/>
      <c r="P143" s="23"/>
      <c r="Q143" s="23"/>
      <c r="R143" s="23"/>
      <c r="S143" s="23"/>
      <c r="T143" s="23"/>
      <c r="U143" s="23"/>
      <c r="V143" s="96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</row>
    <row r="144" spans="1:40" ht="15.7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96"/>
      <c r="N144" s="23"/>
      <c r="O144" s="23"/>
      <c r="P144" s="23"/>
      <c r="Q144" s="23"/>
      <c r="R144" s="23"/>
      <c r="S144" s="23"/>
      <c r="T144" s="23"/>
      <c r="U144" s="23"/>
      <c r="V144" s="96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</row>
    <row r="145" spans="1:40" ht="15.7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96"/>
      <c r="N145" s="23"/>
      <c r="O145" s="23"/>
      <c r="P145" s="23"/>
      <c r="Q145" s="23"/>
      <c r="R145" s="23"/>
      <c r="S145" s="23"/>
      <c r="T145" s="23"/>
      <c r="U145" s="23"/>
      <c r="V145" s="96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</row>
    <row r="146" spans="1:40" ht="15.7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96"/>
      <c r="N146" s="23"/>
      <c r="O146" s="23"/>
      <c r="P146" s="23"/>
      <c r="Q146" s="23"/>
      <c r="R146" s="23"/>
      <c r="S146" s="23"/>
      <c r="T146" s="23"/>
      <c r="U146" s="23"/>
      <c r="V146" s="96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</row>
    <row r="147" spans="1:40" ht="15.7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96"/>
      <c r="N147" s="23"/>
      <c r="O147" s="23"/>
      <c r="P147" s="23"/>
      <c r="Q147" s="23"/>
      <c r="R147" s="23"/>
      <c r="S147" s="23"/>
      <c r="T147" s="23"/>
      <c r="U147" s="23"/>
      <c r="V147" s="96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</row>
    <row r="148" spans="1:40" ht="15.7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96"/>
      <c r="N148" s="23"/>
      <c r="O148" s="23"/>
      <c r="P148" s="23"/>
      <c r="Q148" s="23"/>
      <c r="R148" s="23"/>
      <c r="S148" s="23"/>
      <c r="T148" s="23"/>
      <c r="U148" s="23"/>
      <c r="V148" s="96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</row>
    <row r="149" spans="1:40" ht="15.7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96"/>
      <c r="N149" s="23"/>
      <c r="O149" s="23"/>
      <c r="P149" s="23"/>
      <c r="Q149" s="23"/>
      <c r="R149" s="23"/>
      <c r="S149" s="23"/>
      <c r="T149" s="23"/>
      <c r="U149" s="23"/>
      <c r="V149" s="96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</row>
    <row r="150" spans="1:40" ht="15.7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96"/>
      <c r="N150" s="23"/>
      <c r="O150" s="23"/>
      <c r="P150" s="23"/>
      <c r="Q150" s="23"/>
      <c r="R150" s="23"/>
      <c r="S150" s="23"/>
      <c r="T150" s="23"/>
      <c r="U150" s="23"/>
      <c r="V150" s="96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 spans="1:40" ht="15.7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96"/>
      <c r="N151" s="23"/>
      <c r="O151" s="23"/>
      <c r="P151" s="23"/>
      <c r="Q151" s="23"/>
      <c r="R151" s="23"/>
      <c r="S151" s="23"/>
      <c r="T151" s="23"/>
      <c r="U151" s="23"/>
      <c r="V151" s="96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</row>
    <row r="152" spans="1:40" ht="15.7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96"/>
      <c r="N152" s="23"/>
      <c r="O152" s="23"/>
      <c r="P152" s="23"/>
      <c r="Q152" s="23"/>
      <c r="R152" s="23"/>
      <c r="S152" s="23"/>
      <c r="T152" s="23"/>
      <c r="U152" s="23"/>
      <c r="V152" s="96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</row>
    <row r="153" spans="1:40" ht="15.7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96"/>
      <c r="N153" s="23"/>
      <c r="O153" s="23"/>
      <c r="P153" s="23"/>
      <c r="Q153" s="23"/>
      <c r="R153" s="23"/>
      <c r="S153" s="23"/>
      <c r="T153" s="23"/>
      <c r="U153" s="23"/>
      <c r="V153" s="96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</row>
    <row r="154" spans="1:40" ht="15.7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96"/>
      <c r="N154" s="23"/>
      <c r="O154" s="23"/>
      <c r="P154" s="23"/>
      <c r="Q154" s="23"/>
      <c r="R154" s="23"/>
      <c r="S154" s="23"/>
      <c r="T154" s="23"/>
      <c r="U154" s="23"/>
      <c r="V154" s="96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</row>
    <row r="155" spans="1:40" ht="15.7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96"/>
      <c r="N155" s="23"/>
      <c r="O155" s="23"/>
      <c r="P155" s="23"/>
      <c r="Q155" s="23"/>
      <c r="R155" s="23"/>
      <c r="S155" s="23"/>
      <c r="T155" s="23"/>
      <c r="U155" s="23"/>
      <c r="V155" s="96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</row>
    <row r="156" spans="1:40" ht="15.7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96"/>
      <c r="N156" s="23"/>
      <c r="O156" s="23"/>
      <c r="P156" s="23"/>
      <c r="Q156" s="23"/>
      <c r="R156" s="23"/>
      <c r="S156" s="23"/>
      <c r="T156" s="23"/>
      <c r="U156" s="23"/>
      <c r="V156" s="96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</row>
    <row r="157" spans="1:40" ht="15.7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96"/>
      <c r="N157" s="23"/>
      <c r="O157" s="23"/>
      <c r="P157" s="23"/>
      <c r="Q157" s="23"/>
      <c r="R157" s="23"/>
      <c r="S157" s="23"/>
      <c r="T157" s="23"/>
      <c r="U157" s="23"/>
      <c r="V157" s="96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</row>
    <row r="158" spans="1:40" ht="15.7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96"/>
      <c r="N158" s="23"/>
      <c r="O158" s="23"/>
      <c r="P158" s="23"/>
      <c r="Q158" s="23"/>
      <c r="R158" s="23"/>
      <c r="S158" s="23"/>
      <c r="T158" s="23"/>
      <c r="U158" s="23"/>
      <c r="V158" s="96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</row>
    <row r="159" spans="1:40" ht="15.7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96"/>
      <c r="N159" s="23"/>
      <c r="O159" s="23"/>
      <c r="P159" s="23"/>
      <c r="Q159" s="23"/>
      <c r="R159" s="23"/>
      <c r="S159" s="23"/>
      <c r="T159" s="23"/>
      <c r="U159" s="23"/>
      <c r="V159" s="96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</row>
    <row r="160" spans="1:40" ht="15.7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96"/>
      <c r="N160" s="23"/>
      <c r="O160" s="23"/>
      <c r="P160" s="23"/>
      <c r="Q160" s="23"/>
      <c r="R160" s="23"/>
      <c r="S160" s="23"/>
      <c r="T160" s="23"/>
      <c r="U160" s="23"/>
      <c r="V160" s="96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</row>
    <row r="161" spans="1:40" ht="15.7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96"/>
      <c r="N161" s="23"/>
      <c r="O161" s="23"/>
      <c r="P161" s="23"/>
      <c r="Q161" s="23"/>
      <c r="R161" s="23"/>
      <c r="S161" s="23"/>
      <c r="T161" s="23"/>
      <c r="U161" s="23"/>
      <c r="V161" s="96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</row>
    <row r="162" spans="1:40" ht="15.7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96"/>
      <c r="N162" s="23"/>
      <c r="O162" s="23"/>
      <c r="P162" s="23"/>
      <c r="Q162" s="23"/>
      <c r="R162" s="23"/>
      <c r="S162" s="23"/>
      <c r="T162" s="23"/>
      <c r="U162" s="23"/>
      <c r="V162" s="96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</row>
    <row r="163" spans="1:40" ht="15.7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96"/>
      <c r="N163" s="23"/>
      <c r="O163" s="23"/>
      <c r="P163" s="23"/>
      <c r="Q163" s="23"/>
      <c r="R163" s="23"/>
      <c r="S163" s="23"/>
      <c r="T163" s="23"/>
      <c r="U163" s="23"/>
      <c r="V163" s="96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</row>
    <row r="164" spans="1:40" ht="15.7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96"/>
      <c r="N164" s="23"/>
      <c r="O164" s="23"/>
      <c r="P164" s="23"/>
      <c r="Q164" s="23"/>
      <c r="R164" s="23"/>
      <c r="S164" s="23"/>
      <c r="T164" s="23"/>
      <c r="U164" s="23"/>
      <c r="V164" s="96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</row>
    <row r="165" spans="1:40" ht="15.7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96"/>
      <c r="N165" s="23"/>
      <c r="O165" s="23"/>
      <c r="P165" s="23"/>
      <c r="Q165" s="23"/>
      <c r="R165" s="23"/>
      <c r="S165" s="23"/>
      <c r="T165" s="23"/>
      <c r="U165" s="23"/>
      <c r="V165" s="96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</row>
    <row r="166" spans="1:40" ht="15.7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96"/>
      <c r="N166" s="23"/>
      <c r="O166" s="23"/>
      <c r="P166" s="23"/>
      <c r="Q166" s="23"/>
      <c r="R166" s="23"/>
      <c r="S166" s="23"/>
      <c r="T166" s="23"/>
      <c r="U166" s="23"/>
      <c r="V166" s="96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</row>
    <row r="167" spans="1:40" ht="15.7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96"/>
      <c r="N167" s="23"/>
      <c r="O167" s="23"/>
      <c r="P167" s="23"/>
      <c r="Q167" s="23"/>
      <c r="R167" s="23"/>
      <c r="S167" s="23"/>
      <c r="T167" s="23"/>
      <c r="U167" s="23"/>
      <c r="V167" s="96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15.7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96"/>
      <c r="N168" s="23"/>
      <c r="O168" s="23"/>
      <c r="P168" s="23"/>
      <c r="Q168" s="23"/>
      <c r="R168" s="23"/>
      <c r="S168" s="23"/>
      <c r="T168" s="23"/>
      <c r="U168" s="23"/>
      <c r="V168" s="96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15.7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96"/>
      <c r="N169" s="23"/>
      <c r="O169" s="23"/>
      <c r="P169" s="23"/>
      <c r="Q169" s="23"/>
      <c r="R169" s="23"/>
      <c r="S169" s="23"/>
      <c r="T169" s="23"/>
      <c r="U169" s="23"/>
      <c r="V169" s="96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15.7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96"/>
      <c r="N170" s="23"/>
      <c r="O170" s="23"/>
      <c r="P170" s="23"/>
      <c r="Q170" s="23"/>
      <c r="R170" s="23"/>
      <c r="S170" s="23"/>
      <c r="T170" s="23"/>
      <c r="U170" s="23"/>
      <c r="V170" s="96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15.7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96"/>
      <c r="N171" s="23"/>
      <c r="O171" s="23"/>
      <c r="P171" s="23"/>
      <c r="Q171" s="23"/>
      <c r="R171" s="23"/>
      <c r="S171" s="23"/>
      <c r="T171" s="23"/>
      <c r="U171" s="23"/>
      <c r="V171" s="96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15.7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96"/>
      <c r="N172" s="23"/>
      <c r="O172" s="23"/>
      <c r="P172" s="23"/>
      <c r="Q172" s="23"/>
      <c r="R172" s="23"/>
      <c r="S172" s="23"/>
      <c r="T172" s="23"/>
      <c r="U172" s="23"/>
      <c r="V172" s="96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</row>
    <row r="173" spans="1:40" ht="15.7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96"/>
      <c r="N173" s="23"/>
      <c r="O173" s="23"/>
      <c r="P173" s="23"/>
      <c r="Q173" s="23"/>
      <c r="R173" s="23"/>
      <c r="S173" s="23"/>
      <c r="T173" s="23"/>
      <c r="U173" s="23"/>
      <c r="V173" s="96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</row>
    <row r="174" spans="1:40" ht="15.7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96"/>
      <c r="N174" s="23"/>
      <c r="O174" s="23"/>
      <c r="P174" s="23"/>
      <c r="Q174" s="23"/>
      <c r="R174" s="23"/>
      <c r="S174" s="23"/>
      <c r="T174" s="23"/>
      <c r="U174" s="23"/>
      <c r="V174" s="96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</row>
    <row r="175" spans="1:40" ht="15.7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96"/>
      <c r="N175" s="23"/>
      <c r="O175" s="23"/>
      <c r="P175" s="23"/>
      <c r="Q175" s="23"/>
      <c r="R175" s="23"/>
      <c r="S175" s="23"/>
      <c r="T175" s="23"/>
      <c r="U175" s="23"/>
      <c r="V175" s="96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</row>
    <row r="176" spans="1:40" ht="15.7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96"/>
      <c r="N176" s="23"/>
      <c r="O176" s="23"/>
      <c r="P176" s="23"/>
      <c r="Q176" s="23"/>
      <c r="R176" s="23"/>
      <c r="S176" s="23"/>
      <c r="T176" s="23"/>
      <c r="U176" s="23"/>
      <c r="V176" s="96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</row>
    <row r="177" spans="1:40" ht="15.7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96"/>
      <c r="N177" s="23"/>
      <c r="O177" s="23"/>
      <c r="P177" s="23"/>
      <c r="Q177" s="23"/>
      <c r="R177" s="23"/>
      <c r="S177" s="23"/>
      <c r="T177" s="23"/>
      <c r="U177" s="23"/>
      <c r="V177" s="96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</row>
    <row r="178" spans="1:40" ht="15.7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96"/>
      <c r="N178" s="23"/>
      <c r="O178" s="23"/>
      <c r="P178" s="23"/>
      <c r="Q178" s="23"/>
      <c r="R178" s="23"/>
      <c r="S178" s="23"/>
      <c r="T178" s="23"/>
      <c r="U178" s="23"/>
      <c r="V178" s="96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</row>
    <row r="179" spans="1:40" ht="15.7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96"/>
      <c r="N179" s="23"/>
      <c r="O179" s="23"/>
      <c r="P179" s="23"/>
      <c r="Q179" s="23"/>
      <c r="R179" s="23"/>
      <c r="S179" s="23"/>
      <c r="T179" s="23"/>
      <c r="U179" s="23"/>
      <c r="V179" s="96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</row>
    <row r="180" spans="1:40" ht="15.7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96"/>
      <c r="N180" s="23"/>
      <c r="O180" s="23"/>
      <c r="P180" s="23"/>
      <c r="Q180" s="23"/>
      <c r="R180" s="23"/>
      <c r="S180" s="23"/>
      <c r="T180" s="23"/>
      <c r="U180" s="23"/>
      <c r="V180" s="96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</row>
    <row r="181" spans="1:40" ht="15.7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96"/>
      <c r="N181" s="23"/>
      <c r="O181" s="23"/>
      <c r="P181" s="23"/>
      <c r="Q181" s="23"/>
      <c r="R181" s="23"/>
      <c r="S181" s="23"/>
      <c r="T181" s="23"/>
      <c r="U181" s="23"/>
      <c r="V181" s="96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</row>
    <row r="182" spans="1:40" ht="15.7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96"/>
      <c r="N182" s="23"/>
      <c r="O182" s="23"/>
      <c r="P182" s="23"/>
      <c r="Q182" s="23"/>
      <c r="R182" s="23"/>
      <c r="S182" s="23"/>
      <c r="T182" s="23"/>
      <c r="U182" s="23"/>
      <c r="V182" s="96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</row>
    <row r="183" spans="1:40" ht="15.7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96"/>
      <c r="N183" s="23"/>
      <c r="O183" s="23"/>
      <c r="P183" s="23"/>
      <c r="Q183" s="23"/>
      <c r="R183" s="23"/>
      <c r="S183" s="23"/>
      <c r="T183" s="23"/>
      <c r="U183" s="23"/>
      <c r="V183" s="96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</row>
    <row r="184" spans="1:40" ht="15.7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96"/>
      <c r="N184" s="23"/>
      <c r="O184" s="23"/>
      <c r="P184" s="23"/>
      <c r="Q184" s="23"/>
      <c r="R184" s="23"/>
      <c r="S184" s="23"/>
      <c r="T184" s="23"/>
      <c r="U184" s="23"/>
      <c r="V184" s="96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</row>
    <row r="185" spans="1:40" ht="15.7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96"/>
      <c r="N185" s="23"/>
      <c r="O185" s="23"/>
      <c r="P185" s="23"/>
      <c r="Q185" s="23"/>
      <c r="R185" s="23"/>
      <c r="S185" s="23"/>
      <c r="T185" s="23"/>
      <c r="U185" s="23"/>
      <c r="V185" s="96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</row>
    <row r="186" spans="1:40" ht="15.7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96"/>
      <c r="N186" s="23"/>
      <c r="O186" s="23"/>
      <c r="P186" s="23"/>
      <c r="Q186" s="23"/>
      <c r="R186" s="23"/>
      <c r="S186" s="23"/>
      <c r="T186" s="23"/>
      <c r="U186" s="23"/>
      <c r="V186" s="96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</row>
    <row r="187" spans="1:40" ht="15.7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96"/>
      <c r="N187" s="23"/>
      <c r="O187" s="23"/>
      <c r="P187" s="23"/>
      <c r="Q187" s="23"/>
      <c r="R187" s="23"/>
      <c r="S187" s="23"/>
      <c r="T187" s="23"/>
      <c r="U187" s="23"/>
      <c r="V187" s="96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</row>
    <row r="188" spans="1:40" ht="15.7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96"/>
      <c r="N188" s="23"/>
      <c r="O188" s="23"/>
      <c r="P188" s="23"/>
      <c r="Q188" s="23"/>
      <c r="R188" s="23"/>
      <c r="S188" s="23"/>
      <c r="T188" s="23"/>
      <c r="U188" s="23"/>
      <c r="V188" s="96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</row>
    <row r="189" spans="1:40" ht="15.7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96"/>
      <c r="N189" s="23"/>
      <c r="O189" s="23"/>
      <c r="P189" s="23"/>
      <c r="Q189" s="23"/>
      <c r="R189" s="23"/>
      <c r="S189" s="23"/>
      <c r="T189" s="23"/>
      <c r="U189" s="23"/>
      <c r="V189" s="96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</row>
    <row r="190" spans="1:40" ht="15.7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96"/>
      <c r="N190" s="23"/>
      <c r="O190" s="23"/>
      <c r="P190" s="23"/>
      <c r="Q190" s="23"/>
      <c r="R190" s="23"/>
      <c r="S190" s="23"/>
      <c r="T190" s="23"/>
      <c r="U190" s="23"/>
      <c r="V190" s="96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</row>
    <row r="191" spans="1:40" ht="15.7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96"/>
      <c r="N191" s="23"/>
      <c r="O191" s="23"/>
      <c r="P191" s="23"/>
      <c r="Q191" s="23"/>
      <c r="R191" s="23"/>
      <c r="S191" s="23"/>
      <c r="T191" s="23"/>
      <c r="U191" s="23"/>
      <c r="V191" s="96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</row>
    <row r="192" spans="1:40" ht="15.7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96"/>
      <c r="N192" s="23"/>
      <c r="O192" s="23"/>
      <c r="P192" s="23"/>
      <c r="Q192" s="23"/>
      <c r="R192" s="23"/>
      <c r="S192" s="23"/>
      <c r="T192" s="23"/>
      <c r="U192" s="23"/>
      <c r="V192" s="96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</row>
    <row r="193" spans="1:40" ht="15.7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96"/>
      <c r="N193" s="23"/>
      <c r="O193" s="23"/>
      <c r="P193" s="23"/>
      <c r="Q193" s="23"/>
      <c r="R193" s="23"/>
      <c r="S193" s="23"/>
      <c r="T193" s="23"/>
      <c r="U193" s="23"/>
      <c r="V193" s="96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</row>
    <row r="194" spans="1:40" ht="15.7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96"/>
      <c r="N194" s="23"/>
      <c r="O194" s="23"/>
      <c r="P194" s="23"/>
      <c r="Q194" s="23"/>
      <c r="R194" s="23"/>
      <c r="S194" s="23"/>
      <c r="T194" s="23"/>
      <c r="U194" s="23"/>
      <c r="V194" s="96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</row>
    <row r="195" spans="1:40" ht="15.7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96"/>
      <c r="N195" s="23"/>
      <c r="O195" s="23"/>
      <c r="P195" s="23"/>
      <c r="Q195" s="23"/>
      <c r="R195" s="23"/>
      <c r="S195" s="23"/>
      <c r="T195" s="23"/>
      <c r="U195" s="23"/>
      <c r="V195" s="96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</row>
    <row r="196" spans="1:40" ht="15.7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96"/>
      <c r="N196" s="23"/>
      <c r="O196" s="23"/>
      <c r="P196" s="23"/>
      <c r="Q196" s="23"/>
      <c r="R196" s="23"/>
      <c r="S196" s="23"/>
      <c r="T196" s="23"/>
      <c r="U196" s="23"/>
      <c r="V196" s="96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</row>
    <row r="197" spans="1:40" ht="15.7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96"/>
      <c r="N197" s="23"/>
      <c r="O197" s="23"/>
      <c r="P197" s="23"/>
      <c r="Q197" s="23"/>
      <c r="R197" s="23"/>
      <c r="S197" s="23"/>
      <c r="T197" s="23"/>
      <c r="U197" s="23"/>
      <c r="V197" s="96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</row>
    <row r="198" spans="1:40" ht="15.7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96"/>
      <c r="N198" s="23"/>
      <c r="O198" s="23"/>
      <c r="P198" s="23"/>
      <c r="Q198" s="23"/>
      <c r="R198" s="23"/>
      <c r="S198" s="23"/>
      <c r="T198" s="23"/>
      <c r="U198" s="23"/>
      <c r="V198" s="96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</row>
    <row r="199" spans="1:40" ht="15.7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96"/>
      <c r="N199" s="23"/>
      <c r="O199" s="23"/>
      <c r="P199" s="23"/>
      <c r="Q199" s="23"/>
      <c r="R199" s="23"/>
      <c r="S199" s="23"/>
      <c r="T199" s="23"/>
      <c r="U199" s="23"/>
      <c r="V199" s="96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</row>
    <row r="200" spans="1:40" ht="15.7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96"/>
      <c r="N200" s="23"/>
      <c r="O200" s="23"/>
      <c r="P200" s="23"/>
      <c r="Q200" s="23"/>
      <c r="R200" s="23"/>
      <c r="S200" s="23"/>
      <c r="T200" s="23"/>
      <c r="U200" s="23"/>
      <c r="V200" s="96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</row>
    <row r="201" spans="1:40" ht="15.7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96"/>
      <c r="N201" s="23"/>
      <c r="O201" s="23"/>
      <c r="P201" s="23"/>
      <c r="Q201" s="23"/>
      <c r="R201" s="23"/>
      <c r="S201" s="23"/>
      <c r="T201" s="23"/>
      <c r="U201" s="23"/>
      <c r="V201" s="96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</row>
    <row r="202" spans="1:40" ht="15.7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96"/>
      <c r="N202" s="23"/>
      <c r="O202" s="23"/>
      <c r="P202" s="23"/>
      <c r="Q202" s="23"/>
      <c r="R202" s="23"/>
      <c r="S202" s="23"/>
      <c r="T202" s="23"/>
      <c r="U202" s="23"/>
      <c r="V202" s="96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</row>
    <row r="203" spans="1:40" ht="15.7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96"/>
      <c r="N203" s="23"/>
      <c r="O203" s="23"/>
      <c r="P203" s="23"/>
      <c r="Q203" s="23"/>
      <c r="R203" s="23"/>
      <c r="S203" s="23"/>
      <c r="T203" s="23"/>
      <c r="U203" s="23"/>
      <c r="V203" s="96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</row>
    <row r="204" spans="1:40" ht="15.7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96"/>
      <c r="N204" s="23"/>
      <c r="O204" s="23"/>
      <c r="P204" s="23"/>
      <c r="Q204" s="23"/>
      <c r="R204" s="23"/>
      <c r="S204" s="23"/>
      <c r="T204" s="23"/>
      <c r="U204" s="23"/>
      <c r="V204" s="96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 spans="1:40" ht="15.7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96"/>
      <c r="N205" s="23"/>
      <c r="O205" s="23"/>
      <c r="P205" s="23"/>
      <c r="Q205" s="23"/>
      <c r="R205" s="23"/>
      <c r="S205" s="23"/>
      <c r="T205" s="23"/>
      <c r="U205" s="23"/>
      <c r="V205" s="96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</row>
    <row r="206" spans="1:40" ht="15.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96"/>
      <c r="N206" s="23"/>
      <c r="O206" s="23"/>
      <c r="P206" s="23"/>
      <c r="Q206" s="23"/>
      <c r="R206" s="23"/>
      <c r="S206" s="23"/>
      <c r="T206" s="23"/>
      <c r="U206" s="23"/>
      <c r="V206" s="96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</row>
    <row r="207" spans="1:40" ht="15.7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96"/>
      <c r="N207" s="23"/>
      <c r="O207" s="23"/>
      <c r="P207" s="23"/>
      <c r="Q207" s="23"/>
      <c r="R207" s="23"/>
      <c r="S207" s="23"/>
      <c r="T207" s="23"/>
      <c r="U207" s="23"/>
      <c r="V207" s="96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</row>
    <row r="208" spans="1:40" ht="15.7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96"/>
      <c r="N208" s="23"/>
      <c r="O208" s="23"/>
      <c r="P208" s="23"/>
      <c r="Q208" s="23"/>
      <c r="R208" s="23"/>
      <c r="S208" s="23"/>
      <c r="T208" s="23"/>
      <c r="U208" s="23"/>
      <c r="V208" s="96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</row>
    <row r="209" spans="1:40" ht="15.7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96"/>
      <c r="N209" s="23"/>
      <c r="O209" s="23"/>
      <c r="P209" s="23"/>
      <c r="Q209" s="23"/>
      <c r="R209" s="23"/>
      <c r="S209" s="23"/>
      <c r="T209" s="23"/>
      <c r="U209" s="23"/>
      <c r="V209" s="96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</row>
    <row r="210" spans="1:40" ht="15.7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96"/>
      <c r="N210" s="23"/>
      <c r="O210" s="23"/>
      <c r="P210" s="23"/>
      <c r="Q210" s="23"/>
      <c r="R210" s="23"/>
      <c r="S210" s="23"/>
      <c r="T210" s="23"/>
      <c r="U210" s="23"/>
      <c r="V210" s="96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</row>
    <row r="211" spans="1:40" ht="15.7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96"/>
      <c r="N211" s="23"/>
      <c r="O211" s="23"/>
      <c r="P211" s="23"/>
      <c r="Q211" s="23"/>
      <c r="R211" s="23"/>
      <c r="S211" s="23"/>
      <c r="T211" s="23"/>
      <c r="U211" s="23"/>
      <c r="V211" s="96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</row>
    <row r="212" spans="1:40" ht="15.7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96"/>
      <c r="N212" s="23"/>
      <c r="O212" s="23"/>
      <c r="P212" s="23"/>
      <c r="Q212" s="23"/>
      <c r="R212" s="23"/>
      <c r="S212" s="23"/>
      <c r="T212" s="23"/>
      <c r="U212" s="23"/>
      <c r="V212" s="96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</row>
    <row r="213" spans="1:40" ht="15.7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96"/>
      <c r="N213" s="23"/>
      <c r="O213" s="23"/>
      <c r="P213" s="23"/>
      <c r="Q213" s="23"/>
      <c r="R213" s="23"/>
      <c r="S213" s="23"/>
      <c r="T213" s="23"/>
      <c r="U213" s="23"/>
      <c r="V213" s="96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</row>
    <row r="214" spans="1:40" ht="15.7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96"/>
      <c r="N214" s="23"/>
      <c r="O214" s="23"/>
      <c r="P214" s="23"/>
      <c r="Q214" s="23"/>
      <c r="R214" s="23"/>
      <c r="S214" s="23"/>
      <c r="T214" s="23"/>
      <c r="U214" s="23"/>
      <c r="V214" s="96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</row>
    <row r="215" spans="1:40" ht="15.7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96"/>
      <c r="N215" s="23"/>
      <c r="O215" s="23"/>
      <c r="P215" s="23"/>
      <c r="Q215" s="23"/>
      <c r="R215" s="23"/>
      <c r="S215" s="23"/>
      <c r="T215" s="23"/>
      <c r="U215" s="23"/>
      <c r="V215" s="96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</row>
    <row r="216" spans="1:40" ht="15.7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96"/>
      <c r="N216" s="23"/>
      <c r="O216" s="23"/>
      <c r="P216" s="23"/>
      <c r="Q216" s="23"/>
      <c r="R216" s="23"/>
      <c r="S216" s="23"/>
      <c r="T216" s="23"/>
      <c r="U216" s="23"/>
      <c r="V216" s="96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</row>
    <row r="217" spans="1:40" ht="15.7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96"/>
      <c r="N217" s="23"/>
      <c r="O217" s="23"/>
      <c r="P217" s="23"/>
      <c r="Q217" s="23"/>
      <c r="R217" s="23"/>
      <c r="S217" s="23"/>
      <c r="T217" s="23"/>
      <c r="U217" s="23"/>
      <c r="V217" s="96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</row>
    <row r="218" spans="1:40" ht="15.7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96"/>
      <c r="N218" s="23"/>
      <c r="O218" s="23"/>
      <c r="P218" s="23"/>
      <c r="Q218" s="23"/>
      <c r="R218" s="23"/>
      <c r="S218" s="23"/>
      <c r="T218" s="23"/>
      <c r="U218" s="23"/>
      <c r="V218" s="96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</row>
    <row r="219" spans="1:40" ht="15.7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96"/>
      <c r="N219" s="23"/>
      <c r="O219" s="23"/>
      <c r="P219" s="23"/>
      <c r="Q219" s="23"/>
      <c r="R219" s="23"/>
      <c r="S219" s="23"/>
      <c r="T219" s="23"/>
      <c r="U219" s="23"/>
      <c r="V219" s="96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</row>
    <row r="220" spans="1:40" ht="15.7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96"/>
      <c r="N220" s="23"/>
      <c r="O220" s="23"/>
      <c r="P220" s="23"/>
      <c r="Q220" s="23"/>
      <c r="R220" s="23"/>
      <c r="S220" s="23"/>
      <c r="T220" s="23"/>
      <c r="U220" s="23"/>
      <c r="V220" s="96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</row>
    <row r="221" spans="1:40" ht="15.7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96"/>
      <c r="N221" s="23"/>
      <c r="O221" s="23"/>
      <c r="P221" s="23"/>
      <c r="Q221" s="23"/>
      <c r="R221" s="23"/>
      <c r="S221" s="23"/>
      <c r="T221" s="23"/>
      <c r="U221" s="23"/>
      <c r="V221" s="96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</row>
    <row r="222" spans="1:40" ht="15.7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96"/>
      <c r="N222" s="23"/>
      <c r="O222" s="23"/>
      <c r="P222" s="23"/>
      <c r="Q222" s="23"/>
      <c r="R222" s="23"/>
      <c r="S222" s="23"/>
      <c r="T222" s="23"/>
      <c r="U222" s="23"/>
      <c r="V222" s="96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</row>
    <row r="223" spans="1:40" ht="15.7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96"/>
      <c r="N223" s="23"/>
      <c r="O223" s="23"/>
      <c r="P223" s="23"/>
      <c r="Q223" s="23"/>
      <c r="R223" s="23"/>
      <c r="S223" s="23"/>
      <c r="T223" s="23"/>
      <c r="U223" s="23"/>
      <c r="V223" s="96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</row>
    <row r="224" spans="1:40" ht="15.7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96"/>
      <c r="N224" s="23"/>
      <c r="O224" s="23"/>
      <c r="P224" s="23"/>
      <c r="Q224" s="23"/>
      <c r="R224" s="23"/>
      <c r="S224" s="23"/>
      <c r="T224" s="23"/>
      <c r="U224" s="23"/>
      <c r="V224" s="96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 spans="1:40" ht="15.7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96"/>
      <c r="N225" s="23"/>
      <c r="O225" s="23"/>
      <c r="P225" s="23"/>
      <c r="Q225" s="23"/>
      <c r="R225" s="23"/>
      <c r="S225" s="23"/>
      <c r="T225" s="23"/>
      <c r="U225" s="23"/>
      <c r="V225" s="96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</row>
    <row r="226" spans="1:40" ht="15.7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96"/>
      <c r="N226" s="23"/>
      <c r="O226" s="23"/>
      <c r="P226" s="23"/>
      <c r="Q226" s="23"/>
      <c r="R226" s="23"/>
      <c r="S226" s="23"/>
      <c r="T226" s="23"/>
      <c r="U226" s="23"/>
      <c r="V226" s="96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</row>
    <row r="227" spans="1:40" ht="15.7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96"/>
      <c r="N227" s="23"/>
      <c r="O227" s="23"/>
      <c r="P227" s="23"/>
      <c r="Q227" s="23"/>
      <c r="R227" s="23"/>
      <c r="S227" s="23"/>
      <c r="T227" s="23"/>
      <c r="U227" s="23"/>
      <c r="V227" s="96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</row>
    <row r="228" spans="1:40" ht="15.7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96"/>
      <c r="N228" s="23"/>
      <c r="O228" s="23"/>
      <c r="P228" s="23"/>
      <c r="Q228" s="23"/>
      <c r="R228" s="23"/>
      <c r="S228" s="23"/>
      <c r="T228" s="23"/>
      <c r="U228" s="23"/>
      <c r="V228" s="96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</row>
    <row r="229" spans="1:40" ht="15.7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96"/>
      <c r="N229" s="23"/>
      <c r="O229" s="23"/>
      <c r="P229" s="23"/>
      <c r="Q229" s="23"/>
      <c r="R229" s="23"/>
      <c r="S229" s="23"/>
      <c r="T229" s="23"/>
      <c r="U229" s="23"/>
      <c r="V229" s="96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</row>
    <row r="230" spans="1:40" ht="15.7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96"/>
      <c r="N230" s="23"/>
      <c r="O230" s="23"/>
      <c r="P230" s="23"/>
      <c r="Q230" s="23"/>
      <c r="R230" s="23"/>
      <c r="S230" s="23"/>
      <c r="T230" s="23"/>
      <c r="U230" s="23"/>
      <c r="V230" s="96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</row>
    <row r="231" spans="1:40" ht="15.7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96"/>
      <c r="N231" s="23"/>
      <c r="O231" s="23"/>
      <c r="P231" s="23"/>
      <c r="Q231" s="23"/>
      <c r="R231" s="23"/>
      <c r="S231" s="23"/>
      <c r="T231" s="23"/>
      <c r="U231" s="23"/>
      <c r="V231" s="96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</row>
    <row r="232" spans="1:40" ht="15.7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96"/>
      <c r="N232" s="23"/>
      <c r="O232" s="23"/>
      <c r="P232" s="23"/>
      <c r="Q232" s="23"/>
      <c r="R232" s="23"/>
      <c r="S232" s="23"/>
      <c r="T232" s="23"/>
      <c r="U232" s="23"/>
      <c r="V232" s="96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</row>
    <row r="233" spans="1:40" ht="15.7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96"/>
      <c r="N233" s="23"/>
      <c r="O233" s="23"/>
      <c r="P233" s="23"/>
      <c r="Q233" s="23"/>
      <c r="R233" s="23"/>
      <c r="S233" s="23"/>
      <c r="T233" s="23"/>
      <c r="U233" s="23"/>
      <c r="V233" s="96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</row>
    <row r="234" spans="1:40" ht="15.7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96"/>
      <c r="N234" s="23"/>
      <c r="O234" s="23"/>
      <c r="P234" s="23"/>
      <c r="Q234" s="23"/>
      <c r="R234" s="23"/>
      <c r="S234" s="23"/>
      <c r="T234" s="23"/>
      <c r="U234" s="23"/>
      <c r="V234" s="96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</row>
    <row r="235" spans="1:40" ht="15.7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96"/>
      <c r="N235" s="23"/>
      <c r="O235" s="23"/>
      <c r="P235" s="23"/>
      <c r="Q235" s="23"/>
      <c r="R235" s="23"/>
      <c r="S235" s="23"/>
      <c r="T235" s="23"/>
      <c r="U235" s="23"/>
      <c r="V235" s="96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</row>
    <row r="236" spans="1:40" ht="15.7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96"/>
      <c r="N236" s="23"/>
      <c r="O236" s="23"/>
      <c r="P236" s="23"/>
      <c r="Q236" s="23"/>
      <c r="R236" s="23"/>
      <c r="S236" s="23"/>
      <c r="T236" s="23"/>
      <c r="U236" s="23"/>
      <c r="V236" s="96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15.7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96"/>
      <c r="N237" s="23"/>
      <c r="O237" s="23"/>
      <c r="P237" s="23"/>
      <c r="Q237" s="23"/>
      <c r="R237" s="23"/>
      <c r="S237" s="23"/>
      <c r="T237" s="23"/>
      <c r="U237" s="23"/>
      <c r="V237" s="96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15.7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96"/>
      <c r="N238" s="23"/>
      <c r="O238" s="23"/>
      <c r="P238" s="23"/>
      <c r="Q238" s="23"/>
      <c r="R238" s="23"/>
      <c r="S238" s="23"/>
      <c r="T238" s="23"/>
      <c r="U238" s="23"/>
      <c r="V238" s="96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15.7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96"/>
      <c r="N239" s="23"/>
      <c r="O239" s="23"/>
      <c r="P239" s="23"/>
      <c r="Q239" s="23"/>
      <c r="R239" s="23"/>
      <c r="S239" s="23"/>
      <c r="T239" s="23"/>
      <c r="U239" s="23"/>
      <c r="V239" s="96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15.7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96"/>
      <c r="N240" s="23"/>
      <c r="O240" s="23"/>
      <c r="P240" s="23"/>
      <c r="Q240" s="23"/>
      <c r="R240" s="23"/>
      <c r="S240" s="23"/>
      <c r="T240" s="23"/>
      <c r="U240" s="23"/>
      <c r="V240" s="96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</row>
    <row r="241" spans="1:40" ht="15.7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96"/>
      <c r="N241" s="23"/>
      <c r="O241" s="23"/>
      <c r="P241" s="23"/>
      <c r="Q241" s="23"/>
      <c r="R241" s="23"/>
      <c r="S241" s="23"/>
      <c r="T241" s="23"/>
      <c r="U241" s="23"/>
      <c r="V241" s="96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</row>
    <row r="242" spans="1:40" ht="15.7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96"/>
      <c r="N242" s="23"/>
      <c r="O242" s="23"/>
      <c r="P242" s="23"/>
      <c r="Q242" s="23"/>
      <c r="R242" s="23"/>
      <c r="S242" s="23"/>
      <c r="T242" s="23"/>
      <c r="U242" s="23"/>
      <c r="V242" s="96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</row>
    <row r="243" spans="1:40" ht="15.7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96"/>
      <c r="N243" s="23"/>
      <c r="O243" s="23"/>
      <c r="P243" s="23"/>
      <c r="Q243" s="23"/>
      <c r="R243" s="23"/>
      <c r="S243" s="23"/>
      <c r="T243" s="23"/>
      <c r="U243" s="23"/>
      <c r="V243" s="96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</row>
    <row r="244" spans="1:40" ht="15.7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96"/>
      <c r="N244" s="23"/>
      <c r="O244" s="23"/>
      <c r="P244" s="23"/>
      <c r="Q244" s="23"/>
      <c r="R244" s="23"/>
      <c r="S244" s="23"/>
      <c r="T244" s="23"/>
      <c r="U244" s="23"/>
      <c r="V244" s="96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</row>
    <row r="245" spans="1:40" ht="15.7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96"/>
      <c r="N245" s="23"/>
      <c r="O245" s="23"/>
      <c r="P245" s="23"/>
      <c r="Q245" s="23"/>
      <c r="R245" s="23"/>
      <c r="S245" s="23"/>
      <c r="T245" s="23"/>
      <c r="U245" s="23"/>
      <c r="V245" s="96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</row>
    <row r="246" spans="1:40" ht="15.7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96"/>
      <c r="N246" s="23"/>
      <c r="O246" s="23"/>
      <c r="P246" s="23"/>
      <c r="Q246" s="23"/>
      <c r="R246" s="23"/>
      <c r="S246" s="23"/>
      <c r="T246" s="23"/>
      <c r="U246" s="23"/>
      <c r="V246" s="96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</row>
    <row r="247" spans="1:40" ht="15.7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96"/>
      <c r="N247" s="23"/>
      <c r="O247" s="23"/>
      <c r="P247" s="23"/>
      <c r="Q247" s="23"/>
      <c r="R247" s="23"/>
      <c r="S247" s="23"/>
      <c r="T247" s="23"/>
      <c r="U247" s="23"/>
      <c r="V247" s="96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</row>
    <row r="248" spans="1:40" ht="15.7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96"/>
      <c r="N248" s="23"/>
      <c r="O248" s="23"/>
      <c r="P248" s="23"/>
      <c r="Q248" s="23"/>
      <c r="R248" s="23"/>
      <c r="S248" s="23"/>
      <c r="T248" s="23"/>
      <c r="U248" s="23"/>
      <c r="V248" s="96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</row>
    <row r="249" spans="1:40" ht="15.7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96"/>
      <c r="N249" s="23"/>
      <c r="O249" s="23"/>
      <c r="P249" s="23"/>
      <c r="Q249" s="23"/>
      <c r="R249" s="23"/>
      <c r="S249" s="23"/>
      <c r="T249" s="23"/>
      <c r="U249" s="23"/>
      <c r="V249" s="96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</row>
    <row r="250" spans="1:40" ht="15.7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96"/>
      <c r="N250" s="23"/>
      <c r="O250" s="23"/>
      <c r="P250" s="23"/>
      <c r="Q250" s="23"/>
      <c r="R250" s="23"/>
      <c r="S250" s="23"/>
      <c r="T250" s="23"/>
      <c r="U250" s="23"/>
      <c r="V250" s="96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</row>
    <row r="251" spans="1:40" ht="15.7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96"/>
      <c r="N251" s="23"/>
      <c r="O251" s="23"/>
      <c r="P251" s="23"/>
      <c r="Q251" s="23"/>
      <c r="R251" s="23"/>
      <c r="S251" s="23"/>
      <c r="T251" s="23"/>
      <c r="U251" s="23"/>
      <c r="V251" s="96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</row>
    <row r="252" spans="1:40" ht="15.7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96"/>
      <c r="N252" s="23"/>
      <c r="O252" s="23"/>
      <c r="P252" s="23"/>
      <c r="Q252" s="23"/>
      <c r="R252" s="23"/>
      <c r="S252" s="23"/>
      <c r="T252" s="23"/>
      <c r="U252" s="23"/>
      <c r="V252" s="96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</row>
    <row r="253" spans="1:40" ht="15.7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96"/>
      <c r="N253" s="23"/>
      <c r="O253" s="23"/>
      <c r="P253" s="23"/>
      <c r="Q253" s="23"/>
      <c r="R253" s="23"/>
      <c r="S253" s="23"/>
      <c r="T253" s="23"/>
      <c r="U253" s="23"/>
      <c r="V253" s="96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</row>
    <row r="254" spans="1:40" ht="15.7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96"/>
      <c r="N254" s="23"/>
      <c r="O254" s="23"/>
      <c r="P254" s="23"/>
      <c r="Q254" s="23"/>
      <c r="R254" s="23"/>
      <c r="S254" s="23"/>
      <c r="T254" s="23"/>
      <c r="U254" s="23"/>
      <c r="V254" s="96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</row>
    <row r="255" spans="1:40" ht="15.7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96"/>
      <c r="N255" s="23"/>
      <c r="O255" s="23"/>
      <c r="P255" s="23"/>
      <c r="Q255" s="23"/>
      <c r="R255" s="23"/>
      <c r="S255" s="23"/>
      <c r="T255" s="23"/>
      <c r="U255" s="23"/>
      <c r="V255" s="96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</row>
    <row r="256" spans="1:40" ht="15.7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96"/>
      <c r="N256" s="23"/>
      <c r="O256" s="23"/>
      <c r="P256" s="23"/>
      <c r="Q256" s="23"/>
      <c r="R256" s="23"/>
      <c r="S256" s="23"/>
      <c r="T256" s="23"/>
      <c r="U256" s="23"/>
      <c r="V256" s="96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</row>
    <row r="257" spans="1:40" ht="15.7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96"/>
      <c r="N257" s="23"/>
      <c r="O257" s="23"/>
      <c r="P257" s="23"/>
      <c r="Q257" s="23"/>
      <c r="R257" s="23"/>
      <c r="S257" s="23"/>
      <c r="T257" s="23"/>
      <c r="U257" s="23"/>
      <c r="V257" s="96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</row>
    <row r="258" spans="1:40" ht="15.7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96"/>
      <c r="N258" s="23"/>
      <c r="O258" s="23"/>
      <c r="P258" s="23"/>
      <c r="Q258" s="23"/>
      <c r="R258" s="23"/>
      <c r="S258" s="23"/>
      <c r="T258" s="23"/>
      <c r="U258" s="23"/>
      <c r="V258" s="96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</row>
    <row r="259" spans="1:40" ht="15.7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96"/>
      <c r="N259" s="23"/>
      <c r="O259" s="23"/>
      <c r="P259" s="23"/>
      <c r="Q259" s="23"/>
      <c r="R259" s="23"/>
      <c r="S259" s="23"/>
      <c r="T259" s="23"/>
      <c r="U259" s="23"/>
      <c r="V259" s="96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</row>
    <row r="260" spans="1:40" ht="15.7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96"/>
      <c r="N260" s="23"/>
      <c r="O260" s="23"/>
      <c r="P260" s="23"/>
      <c r="Q260" s="23"/>
      <c r="R260" s="23"/>
      <c r="S260" s="23"/>
      <c r="T260" s="23"/>
      <c r="U260" s="23"/>
      <c r="V260" s="96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</row>
    <row r="261" spans="1:40" ht="15.7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96"/>
      <c r="N261" s="23"/>
      <c r="O261" s="23"/>
      <c r="P261" s="23"/>
      <c r="Q261" s="23"/>
      <c r="R261" s="23"/>
      <c r="S261" s="23"/>
      <c r="T261" s="23"/>
      <c r="U261" s="23"/>
      <c r="V261" s="96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</row>
    <row r="262" spans="1:40" ht="15.7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96"/>
      <c r="N262" s="23"/>
      <c r="O262" s="23"/>
      <c r="P262" s="23"/>
      <c r="Q262" s="23"/>
      <c r="R262" s="23"/>
      <c r="S262" s="23"/>
      <c r="T262" s="23"/>
      <c r="U262" s="23"/>
      <c r="V262" s="96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</row>
    <row r="263" spans="1:40" ht="15.7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96"/>
      <c r="N263" s="23"/>
      <c r="O263" s="23"/>
      <c r="P263" s="23"/>
      <c r="Q263" s="23"/>
      <c r="R263" s="23"/>
      <c r="S263" s="23"/>
      <c r="T263" s="23"/>
      <c r="U263" s="23"/>
      <c r="V263" s="96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</row>
    <row r="264" spans="1:40" ht="15.7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96"/>
      <c r="N264" s="23"/>
      <c r="O264" s="23"/>
      <c r="P264" s="23"/>
      <c r="Q264" s="23"/>
      <c r="R264" s="23"/>
      <c r="S264" s="23"/>
      <c r="T264" s="23"/>
      <c r="U264" s="23"/>
      <c r="V264" s="96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</row>
    <row r="265" spans="1:40" ht="15.7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96"/>
      <c r="N265" s="23"/>
      <c r="O265" s="23"/>
      <c r="P265" s="23"/>
      <c r="Q265" s="23"/>
      <c r="R265" s="23"/>
      <c r="S265" s="23"/>
      <c r="T265" s="23"/>
      <c r="U265" s="23"/>
      <c r="V265" s="96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</row>
    <row r="266" spans="1:40" ht="15.7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96"/>
      <c r="N266" s="23"/>
      <c r="O266" s="23"/>
      <c r="P266" s="23"/>
      <c r="Q266" s="23"/>
      <c r="R266" s="23"/>
      <c r="S266" s="23"/>
      <c r="T266" s="23"/>
      <c r="U266" s="23"/>
      <c r="V266" s="96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</row>
    <row r="267" spans="1:40" ht="15.7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96"/>
      <c r="N267" s="23"/>
      <c r="O267" s="23"/>
      <c r="P267" s="23"/>
      <c r="Q267" s="23"/>
      <c r="R267" s="23"/>
      <c r="S267" s="23"/>
      <c r="T267" s="23"/>
      <c r="U267" s="23"/>
      <c r="V267" s="96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</row>
    <row r="268" spans="1:40" ht="15.7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96"/>
      <c r="N268" s="23"/>
      <c r="O268" s="23"/>
      <c r="P268" s="23"/>
      <c r="Q268" s="23"/>
      <c r="R268" s="23"/>
      <c r="S268" s="23"/>
      <c r="T268" s="23"/>
      <c r="U268" s="23"/>
      <c r="V268" s="96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</row>
    <row r="269" spans="1:40" ht="15.7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96"/>
      <c r="N269" s="23"/>
      <c r="O269" s="23"/>
      <c r="P269" s="23"/>
      <c r="Q269" s="23"/>
      <c r="R269" s="23"/>
      <c r="S269" s="23"/>
      <c r="T269" s="23"/>
      <c r="U269" s="23"/>
      <c r="V269" s="96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</row>
    <row r="270" spans="1:40" ht="15.7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96"/>
      <c r="N270" s="23"/>
      <c r="O270" s="23"/>
      <c r="P270" s="23"/>
      <c r="Q270" s="23"/>
      <c r="R270" s="23"/>
      <c r="S270" s="23"/>
      <c r="T270" s="23"/>
      <c r="U270" s="23"/>
      <c r="V270" s="96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</row>
    <row r="271" spans="1:40" ht="15.7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96"/>
      <c r="N271" s="23"/>
      <c r="O271" s="23"/>
      <c r="P271" s="23"/>
      <c r="Q271" s="23"/>
      <c r="R271" s="23"/>
      <c r="S271" s="23"/>
      <c r="T271" s="23"/>
      <c r="U271" s="23"/>
      <c r="V271" s="96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</row>
    <row r="272" spans="1:40" ht="15.7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96"/>
      <c r="N272" s="23"/>
      <c r="O272" s="23"/>
      <c r="P272" s="23"/>
      <c r="Q272" s="23"/>
      <c r="R272" s="23"/>
      <c r="S272" s="23"/>
      <c r="T272" s="23"/>
      <c r="U272" s="23"/>
      <c r="V272" s="96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</row>
    <row r="273" spans="1:40" ht="15.7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96"/>
      <c r="N273" s="23"/>
      <c r="O273" s="23"/>
      <c r="P273" s="23"/>
      <c r="Q273" s="23"/>
      <c r="R273" s="23"/>
      <c r="S273" s="23"/>
      <c r="T273" s="23"/>
      <c r="U273" s="23"/>
      <c r="V273" s="96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</row>
    <row r="274" spans="1:40" ht="15.7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96"/>
      <c r="N274" s="23"/>
      <c r="O274" s="23"/>
      <c r="P274" s="23"/>
      <c r="Q274" s="23"/>
      <c r="R274" s="23"/>
      <c r="S274" s="23"/>
      <c r="T274" s="23"/>
      <c r="U274" s="23"/>
      <c r="V274" s="96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</row>
    <row r="275" spans="1:40" ht="15.7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96"/>
      <c r="N275" s="23"/>
      <c r="O275" s="23"/>
      <c r="P275" s="23"/>
      <c r="Q275" s="23"/>
      <c r="R275" s="23"/>
      <c r="S275" s="23"/>
      <c r="T275" s="23"/>
      <c r="U275" s="23"/>
      <c r="V275" s="96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</row>
    <row r="276" spans="1:40" ht="15.7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96"/>
      <c r="N276" s="23"/>
      <c r="O276" s="23"/>
      <c r="P276" s="23"/>
      <c r="Q276" s="23"/>
      <c r="R276" s="23"/>
      <c r="S276" s="23"/>
      <c r="T276" s="23"/>
      <c r="U276" s="23"/>
      <c r="V276" s="96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</row>
    <row r="277" spans="1:40" ht="15.7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96"/>
      <c r="N277" s="23"/>
      <c r="O277" s="23"/>
      <c r="P277" s="23"/>
      <c r="Q277" s="23"/>
      <c r="R277" s="23"/>
      <c r="S277" s="23"/>
      <c r="T277" s="23"/>
      <c r="U277" s="23"/>
      <c r="V277" s="96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</row>
    <row r="278" spans="1:40" ht="15.7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96"/>
      <c r="N278" s="23"/>
      <c r="O278" s="23"/>
      <c r="P278" s="23"/>
      <c r="Q278" s="23"/>
      <c r="R278" s="23"/>
      <c r="S278" s="23"/>
      <c r="T278" s="23"/>
      <c r="U278" s="23"/>
      <c r="V278" s="96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</row>
    <row r="279" spans="1:40" ht="15.7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96"/>
      <c r="N279" s="23"/>
      <c r="O279" s="23"/>
      <c r="P279" s="23"/>
      <c r="Q279" s="23"/>
      <c r="R279" s="23"/>
      <c r="S279" s="23"/>
      <c r="T279" s="23"/>
      <c r="U279" s="23"/>
      <c r="V279" s="96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</row>
    <row r="280" spans="1:40" ht="15.7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96"/>
      <c r="N280" s="23"/>
      <c r="O280" s="23"/>
      <c r="P280" s="23"/>
      <c r="Q280" s="23"/>
      <c r="R280" s="23"/>
      <c r="S280" s="23"/>
      <c r="T280" s="23"/>
      <c r="U280" s="23"/>
      <c r="V280" s="96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</row>
    <row r="281" spans="1:40" ht="15.7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96"/>
      <c r="N281" s="23"/>
      <c r="O281" s="23"/>
      <c r="P281" s="23"/>
      <c r="Q281" s="23"/>
      <c r="R281" s="23"/>
      <c r="S281" s="23"/>
      <c r="T281" s="23"/>
      <c r="U281" s="23"/>
      <c r="V281" s="96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</row>
    <row r="282" spans="1:40" ht="15.7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96"/>
      <c r="N282" s="23"/>
      <c r="O282" s="23"/>
      <c r="P282" s="23"/>
      <c r="Q282" s="23"/>
      <c r="R282" s="23"/>
      <c r="S282" s="23"/>
      <c r="T282" s="23"/>
      <c r="U282" s="23"/>
      <c r="V282" s="96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</row>
    <row r="283" spans="1:40" ht="15.7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96"/>
      <c r="N283" s="23"/>
      <c r="O283" s="23"/>
      <c r="P283" s="23"/>
      <c r="Q283" s="23"/>
      <c r="R283" s="23"/>
      <c r="S283" s="23"/>
      <c r="T283" s="23"/>
      <c r="U283" s="23"/>
      <c r="V283" s="96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</row>
    <row r="284" spans="1:40" ht="15.7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96"/>
      <c r="N284" s="23"/>
      <c r="O284" s="23"/>
      <c r="P284" s="23"/>
      <c r="Q284" s="23"/>
      <c r="R284" s="23"/>
      <c r="S284" s="23"/>
      <c r="T284" s="23"/>
      <c r="U284" s="23"/>
      <c r="V284" s="96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</row>
    <row r="285" spans="1:40" ht="15.7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96"/>
      <c r="N285" s="23"/>
      <c r="O285" s="23"/>
      <c r="P285" s="23"/>
      <c r="Q285" s="23"/>
      <c r="R285" s="23"/>
      <c r="S285" s="23"/>
      <c r="T285" s="23"/>
      <c r="U285" s="23"/>
      <c r="V285" s="96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</row>
    <row r="286" spans="1:40" ht="15.7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96"/>
      <c r="N286" s="23"/>
      <c r="O286" s="23"/>
      <c r="P286" s="23"/>
      <c r="Q286" s="23"/>
      <c r="R286" s="23"/>
      <c r="S286" s="23"/>
      <c r="T286" s="23"/>
      <c r="U286" s="23"/>
      <c r="V286" s="96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</row>
    <row r="287" spans="1:40" ht="15.7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96"/>
      <c r="N287" s="23"/>
      <c r="O287" s="23"/>
      <c r="P287" s="23"/>
      <c r="Q287" s="23"/>
      <c r="R287" s="23"/>
      <c r="S287" s="23"/>
      <c r="T287" s="23"/>
      <c r="U287" s="23"/>
      <c r="V287" s="96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</row>
    <row r="288" spans="1:40" ht="15.7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96"/>
      <c r="N288" s="23"/>
      <c r="O288" s="23"/>
      <c r="P288" s="23"/>
      <c r="Q288" s="23"/>
      <c r="R288" s="23"/>
      <c r="S288" s="23"/>
      <c r="T288" s="23"/>
      <c r="U288" s="23"/>
      <c r="V288" s="96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</row>
    <row r="289" spans="1:40" ht="15.7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96"/>
      <c r="N289" s="23"/>
      <c r="O289" s="23"/>
      <c r="P289" s="23"/>
      <c r="Q289" s="23"/>
      <c r="R289" s="23"/>
      <c r="S289" s="23"/>
      <c r="T289" s="23"/>
      <c r="U289" s="23"/>
      <c r="V289" s="96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</row>
    <row r="290" spans="1:40" ht="15.7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96"/>
      <c r="N290" s="23"/>
      <c r="O290" s="23"/>
      <c r="P290" s="23"/>
      <c r="Q290" s="23"/>
      <c r="R290" s="23"/>
      <c r="S290" s="23"/>
      <c r="T290" s="23"/>
      <c r="U290" s="23"/>
      <c r="V290" s="96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</row>
    <row r="291" spans="1:40" ht="15.7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96"/>
      <c r="N291" s="23"/>
      <c r="O291" s="23"/>
      <c r="P291" s="23"/>
      <c r="Q291" s="23"/>
      <c r="R291" s="23"/>
      <c r="S291" s="23"/>
      <c r="T291" s="23"/>
      <c r="U291" s="23"/>
      <c r="V291" s="96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</row>
    <row r="292" spans="1:40" ht="15.7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96"/>
      <c r="N292" s="23"/>
      <c r="O292" s="23"/>
      <c r="P292" s="23"/>
      <c r="Q292" s="23"/>
      <c r="R292" s="23"/>
      <c r="S292" s="23"/>
      <c r="T292" s="23"/>
      <c r="U292" s="23"/>
      <c r="V292" s="96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</row>
    <row r="293" spans="1:40" ht="15.7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96"/>
      <c r="N293" s="23"/>
      <c r="O293" s="23"/>
      <c r="P293" s="23"/>
      <c r="Q293" s="23"/>
      <c r="R293" s="23"/>
      <c r="S293" s="23"/>
      <c r="T293" s="23"/>
      <c r="U293" s="23"/>
      <c r="V293" s="96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</row>
    <row r="294" spans="1:40" ht="15.7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96"/>
      <c r="N294" s="23"/>
      <c r="O294" s="23"/>
      <c r="P294" s="23"/>
      <c r="Q294" s="23"/>
      <c r="R294" s="23"/>
      <c r="S294" s="23"/>
      <c r="T294" s="23"/>
      <c r="U294" s="23"/>
      <c r="V294" s="96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</row>
    <row r="295" spans="1:40" ht="15.7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96"/>
      <c r="N295" s="23"/>
      <c r="O295" s="23"/>
      <c r="P295" s="23"/>
      <c r="Q295" s="23"/>
      <c r="R295" s="23"/>
      <c r="S295" s="23"/>
      <c r="T295" s="23"/>
      <c r="U295" s="23"/>
      <c r="V295" s="96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</row>
    <row r="296" spans="1:40" ht="15.7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96"/>
      <c r="N296" s="23"/>
      <c r="O296" s="23"/>
      <c r="P296" s="23"/>
      <c r="Q296" s="23"/>
      <c r="R296" s="23"/>
      <c r="S296" s="23"/>
      <c r="T296" s="23"/>
      <c r="U296" s="23"/>
      <c r="V296" s="96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</row>
    <row r="297" spans="1:40" ht="15.7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96"/>
      <c r="N297" s="23"/>
      <c r="O297" s="23"/>
      <c r="P297" s="23"/>
      <c r="Q297" s="23"/>
      <c r="R297" s="23"/>
      <c r="S297" s="23"/>
      <c r="T297" s="23"/>
      <c r="U297" s="23"/>
      <c r="V297" s="96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</row>
    <row r="298" spans="1:40" ht="15.7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96"/>
      <c r="N298" s="23"/>
      <c r="O298" s="23"/>
      <c r="P298" s="23"/>
      <c r="Q298" s="23"/>
      <c r="R298" s="23"/>
      <c r="S298" s="23"/>
      <c r="T298" s="23"/>
      <c r="U298" s="23"/>
      <c r="V298" s="96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</row>
    <row r="299" spans="1:40" ht="15.7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96"/>
      <c r="N299" s="23"/>
      <c r="O299" s="23"/>
      <c r="P299" s="23"/>
      <c r="Q299" s="23"/>
      <c r="R299" s="23"/>
      <c r="S299" s="23"/>
      <c r="T299" s="23"/>
      <c r="U299" s="23"/>
      <c r="V299" s="96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</row>
    <row r="300" spans="1:40" ht="15.7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96"/>
      <c r="N300" s="23"/>
      <c r="O300" s="23"/>
      <c r="P300" s="23"/>
      <c r="Q300" s="23"/>
      <c r="R300" s="23"/>
      <c r="S300" s="23"/>
      <c r="T300" s="23"/>
      <c r="U300" s="23"/>
      <c r="V300" s="96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</row>
    <row r="301" spans="1:40" ht="15.7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96"/>
      <c r="N301" s="23"/>
      <c r="O301" s="23"/>
      <c r="P301" s="23"/>
      <c r="Q301" s="23"/>
      <c r="R301" s="23"/>
      <c r="S301" s="23"/>
      <c r="T301" s="23"/>
      <c r="U301" s="23"/>
      <c r="V301" s="96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</row>
    <row r="302" spans="1:40" ht="15.7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96"/>
      <c r="N302" s="23"/>
      <c r="O302" s="23"/>
      <c r="P302" s="23"/>
      <c r="Q302" s="23"/>
      <c r="R302" s="23"/>
      <c r="S302" s="23"/>
      <c r="T302" s="23"/>
      <c r="U302" s="23"/>
      <c r="V302" s="96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</row>
    <row r="303" spans="1:40" ht="15.7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96"/>
      <c r="N303" s="23"/>
      <c r="O303" s="23"/>
      <c r="P303" s="23"/>
      <c r="Q303" s="23"/>
      <c r="R303" s="23"/>
      <c r="S303" s="23"/>
      <c r="T303" s="23"/>
      <c r="U303" s="23"/>
      <c r="V303" s="96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</row>
    <row r="304" spans="1:40" ht="15.7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96"/>
      <c r="N304" s="23"/>
      <c r="O304" s="23"/>
      <c r="P304" s="23"/>
      <c r="Q304" s="23"/>
      <c r="R304" s="23"/>
      <c r="S304" s="23"/>
      <c r="T304" s="23"/>
      <c r="U304" s="23"/>
      <c r="V304" s="96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</row>
    <row r="305" spans="1:40" ht="15.7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96"/>
      <c r="N305" s="23"/>
      <c r="O305" s="23"/>
      <c r="P305" s="23"/>
      <c r="Q305" s="23"/>
      <c r="R305" s="23"/>
      <c r="S305" s="23"/>
      <c r="T305" s="23"/>
      <c r="U305" s="23"/>
      <c r="V305" s="96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</row>
    <row r="306" spans="1:40" ht="15.7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96"/>
      <c r="N306" s="23"/>
      <c r="O306" s="23"/>
      <c r="P306" s="23"/>
      <c r="Q306" s="23"/>
      <c r="R306" s="23"/>
      <c r="S306" s="23"/>
      <c r="T306" s="23"/>
      <c r="U306" s="23"/>
      <c r="V306" s="96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</row>
    <row r="307" spans="1:40" ht="15.7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96"/>
      <c r="N307" s="23"/>
      <c r="O307" s="23"/>
      <c r="P307" s="23"/>
      <c r="Q307" s="23"/>
      <c r="R307" s="23"/>
      <c r="S307" s="23"/>
      <c r="T307" s="23"/>
      <c r="U307" s="23"/>
      <c r="V307" s="96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</row>
    <row r="308" spans="1:40" ht="15.7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96"/>
      <c r="N308" s="23"/>
      <c r="O308" s="23"/>
      <c r="P308" s="23"/>
      <c r="Q308" s="23"/>
      <c r="R308" s="23"/>
      <c r="S308" s="23"/>
      <c r="T308" s="23"/>
      <c r="U308" s="23"/>
      <c r="V308" s="96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</row>
    <row r="309" spans="1:40" ht="15.7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96"/>
      <c r="N309" s="23"/>
      <c r="O309" s="23"/>
      <c r="P309" s="23"/>
      <c r="Q309" s="23"/>
      <c r="R309" s="23"/>
      <c r="S309" s="23"/>
      <c r="T309" s="23"/>
      <c r="U309" s="23"/>
      <c r="V309" s="96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</row>
    <row r="310" spans="1:40" ht="15.7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96"/>
      <c r="N310" s="23"/>
      <c r="O310" s="23"/>
      <c r="P310" s="23"/>
      <c r="Q310" s="23"/>
      <c r="R310" s="23"/>
      <c r="S310" s="23"/>
      <c r="T310" s="23"/>
      <c r="U310" s="23"/>
      <c r="V310" s="96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</row>
    <row r="311" spans="1:40" ht="15.7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96"/>
      <c r="N311" s="23"/>
      <c r="O311" s="23"/>
      <c r="P311" s="23"/>
      <c r="Q311" s="23"/>
      <c r="R311" s="23"/>
      <c r="S311" s="23"/>
      <c r="T311" s="23"/>
      <c r="U311" s="23"/>
      <c r="V311" s="96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</row>
    <row r="312" spans="1:40" ht="15.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96"/>
      <c r="N312" s="23"/>
      <c r="O312" s="23"/>
      <c r="P312" s="23"/>
      <c r="Q312" s="23"/>
      <c r="R312" s="23"/>
      <c r="S312" s="23"/>
      <c r="T312" s="23"/>
      <c r="U312" s="23"/>
      <c r="V312" s="96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</row>
    <row r="313" spans="1:40" ht="15.7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96"/>
      <c r="N313" s="23"/>
      <c r="O313" s="23"/>
      <c r="P313" s="23"/>
      <c r="Q313" s="23"/>
      <c r="R313" s="23"/>
      <c r="S313" s="23"/>
      <c r="T313" s="23"/>
      <c r="U313" s="23"/>
      <c r="V313" s="96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</row>
    <row r="314" spans="1:40" ht="15.7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96"/>
      <c r="N314" s="23"/>
      <c r="O314" s="23"/>
      <c r="P314" s="23"/>
      <c r="Q314" s="23"/>
      <c r="R314" s="23"/>
      <c r="S314" s="23"/>
      <c r="T314" s="23"/>
      <c r="U314" s="23"/>
      <c r="V314" s="96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</row>
    <row r="315" spans="1:40" ht="15.7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96"/>
      <c r="N315" s="23"/>
      <c r="O315" s="23"/>
      <c r="P315" s="23"/>
      <c r="Q315" s="23"/>
      <c r="R315" s="23"/>
      <c r="S315" s="23"/>
      <c r="T315" s="23"/>
      <c r="U315" s="23"/>
      <c r="V315" s="96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</row>
    <row r="316" spans="1:40" ht="15.7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96"/>
      <c r="N316" s="23"/>
      <c r="O316" s="23"/>
      <c r="P316" s="23"/>
      <c r="Q316" s="23"/>
      <c r="R316" s="23"/>
      <c r="S316" s="23"/>
      <c r="T316" s="23"/>
      <c r="U316" s="23"/>
      <c r="V316" s="96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</row>
    <row r="317" spans="1:40" ht="15.7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96"/>
      <c r="N317" s="23"/>
      <c r="O317" s="23"/>
      <c r="P317" s="23"/>
      <c r="Q317" s="23"/>
      <c r="R317" s="23"/>
      <c r="S317" s="23"/>
      <c r="T317" s="23"/>
      <c r="U317" s="23"/>
      <c r="V317" s="96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</row>
    <row r="318" spans="1:40" ht="15.7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96"/>
      <c r="N318" s="23"/>
      <c r="O318" s="23"/>
      <c r="P318" s="23"/>
      <c r="Q318" s="23"/>
      <c r="R318" s="23"/>
      <c r="S318" s="23"/>
      <c r="T318" s="23"/>
      <c r="U318" s="23"/>
      <c r="V318" s="96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</row>
    <row r="319" spans="1:40" ht="15.7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96"/>
      <c r="N319" s="23"/>
      <c r="O319" s="23"/>
      <c r="P319" s="23"/>
      <c r="Q319" s="23"/>
      <c r="R319" s="23"/>
      <c r="S319" s="23"/>
      <c r="T319" s="23"/>
      <c r="U319" s="23"/>
      <c r="V319" s="96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</row>
    <row r="320" spans="1:40" ht="15.7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96"/>
      <c r="N320" s="23"/>
      <c r="O320" s="23"/>
      <c r="P320" s="23"/>
      <c r="Q320" s="23"/>
      <c r="R320" s="23"/>
      <c r="S320" s="23"/>
      <c r="T320" s="23"/>
      <c r="U320" s="23"/>
      <c r="V320" s="96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</row>
    <row r="321" spans="1:40" ht="15.7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96"/>
      <c r="N321" s="23"/>
      <c r="O321" s="23"/>
      <c r="P321" s="23"/>
      <c r="Q321" s="23"/>
      <c r="R321" s="23"/>
      <c r="S321" s="23"/>
      <c r="T321" s="23"/>
      <c r="U321" s="23"/>
      <c r="V321" s="96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</row>
    <row r="322" spans="1:40" ht="15.7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96"/>
      <c r="N322" s="23"/>
      <c r="O322" s="23"/>
      <c r="P322" s="23"/>
      <c r="Q322" s="23"/>
      <c r="R322" s="23"/>
      <c r="S322" s="23"/>
      <c r="T322" s="23"/>
      <c r="U322" s="23"/>
      <c r="V322" s="96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</row>
    <row r="323" spans="1:40" ht="15.7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96"/>
      <c r="N323" s="23"/>
      <c r="O323" s="23"/>
      <c r="P323" s="23"/>
      <c r="Q323" s="23"/>
      <c r="R323" s="23"/>
      <c r="S323" s="23"/>
      <c r="T323" s="23"/>
      <c r="U323" s="23"/>
      <c r="V323" s="96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</row>
    <row r="324" spans="1:40" ht="15.7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96"/>
      <c r="N324" s="23"/>
      <c r="O324" s="23"/>
      <c r="P324" s="23"/>
      <c r="Q324" s="23"/>
      <c r="R324" s="23"/>
      <c r="S324" s="23"/>
      <c r="T324" s="23"/>
      <c r="U324" s="23"/>
      <c r="V324" s="96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</row>
    <row r="325" spans="1:40" ht="15.7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96"/>
      <c r="N325" s="23"/>
      <c r="O325" s="23"/>
      <c r="P325" s="23"/>
      <c r="Q325" s="23"/>
      <c r="R325" s="23"/>
      <c r="S325" s="23"/>
      <c r="T325" s="23"/>
      <c r="U325" s="23"/>
      <c r="V325" s="96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</row>
    <row r="326" spans="1:40" ht="15.7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96"/>
      <c r="N326" s="23"/>
      <c r="O326" s="23"/>
      <c r="P326" s="23"/>
      <c r="Q326" s="23"/>
      <c r="R326" s="23"/>
      <c r="S326" s="23"/>
      <c r="T326" s="23"/>
      <c r="U326" s="23"/>
      <c r="V326" s="96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</row>
    <row r="327" spans="1:40" ht="15.7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96"/>
      <c r="N327" s="23"/>
      <c r="O327" s="23"/>
      <c r="P327" s="23"/>
      <c r="Q327" s="23"/>
      <c r="R327" s="23"/>
      <c r="S327" s="23"/>
      <c r="T327" s="23"/>
      <c r="U327" s="23"/>
      <c r="V327" s="96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</row>
    <row r="328" spans="1:40" ht="15.7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96"/>
      <c r="N328" s="23"/>
      <c r="O328" s="23"/>
      <c r="P328" s="23"/>
      <c r="Q328" s="23"/>
      <c r="R328" s="23"/>
      <c r="S328" s="23"/>
      <c r="T328" s="23"/>
      <c r="U328" s="23"/>
      <c r="V328" s="96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</row>
    <row r="329" spans="1:40" ht="15.7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96"/>
      <c r="N329" s="23"/>
      <c r="O329" s="23"/>
      <c r="P329" s="23"/>
      <c r="Q329" s="23"/>
      <c r="R329" s="23"/>
      <c r="S329" s="23"/>
      <c r="T329" s="23"/>
      <c r="U329" s="23"/>
      <c r="V329" s="96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</row>
    <row r="330" spans="1:40" ht="15.7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96"/>
      <c r="N330" s="23"/>
      <c r="O330" s="23"/>
      <c r="P330" s="23"/>
      <c r="Q330" s="23"/>
      <c r="R330" s="23"/>
      <c r="S330" s="23"/>
      <c r="T330" s="23"/>
      <c r="U330" s="23"/>
      <c r="V330" s="96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</row>
    <row r="331" spans="1:40" ht="15.7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96"/>
      <c r="N331" s="23"/>
      <c r="O331" s="23"/>
      <c r="P331" s="23"/>
      <c r="Q331" s="23"/>
      <c r="R331" s="23"/>
      <c r="S331" s="23"/>
      <c r="T331" s="23"/>
      <c r="U331" s="23"/>
      <c r="V331" s="96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</row>
    <row r="332" spans="1:40" ht="15.7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96"/>
      <c r="N332" s="23"/>
      <c r="O332" s="23"/>
      <c r="P332" s="23"/>
      <c r="Q332" s="23"/>
      <c r="R332" s="23"/>
      <c r="S332" s="23"/>
      <c r="T332" s="23"/>
      <c r="U332" s="23"/>
      <c r="V332" s="96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</row>
    <row r="333" spans="1:40" ht="15.7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96"/>
      <c r="N333" s="23"/>
      <c r="O333" s="23"/>
      <c r="P333" s="23"/>
      <c r="Q333" s="23"/>
      <c r="R333" s="23"/>
      <c r="S333" s="23"/>
      <c r="T333" s="23"/>
      <c r="U333" s="23"/>
      <c r="V333" s="96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</row>
    <row r="334" spans="1:40" ht="15.7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96"/>
      <c r="N334" s="23"/>
      <c r="O334" s="23"/>
      <c r="P334" s="23"/>
      <c r="Q334" s="23"/>
      <c r="R334" s="23"/>
      <c r="S334" s="23"/>
      <c r="T334" s="23"/>
      <c r="U334" s="23"/>
      <c r="V334" s="96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</row>
    <row r="335" spans="1:40" ht="15.7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96"/>
      <c r="N335" s="23"/>
      <c r="O335" s="23"/>
      <c r="P335" s="23"/>
      <c r="Q335" s="23"/>
      <c r="R335" s="23"/>
      <c r="S335" s="23"/>
      <c r="T335" s="23"/>
      <c r="U335" s="23"/>
      <c r="V335" s="96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</row>
    <row r="336" spans="1:40" ht="15.7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96"/>
      <c r="N336" s="23"/>
      <c r="O336" s="23"/>
      <c r="P336" s="23"/>
      <c r="Q336" s="23"/>
      <c r="R336" s="23"/>
      <c r="S336" s="23"/>
      <c r="T336" s="23"/>
      <c r="U336" s="23"/>
      <c r="V336" s="96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</row>
    <row r="337" spans="1:40" ht="15.7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96"/>
      <c r="N337" s="23"/>
      <c r="O337" s="23"/>
      <c r="P337" s="23"/>
      <c r="Q337" s="23"/>
      <c r="R337" s="23"/>
      <c r="S337" s="23"/>
      <c r="T337" s="23"/>
      <c r="U337" s="23"/>
      <c r="V337" s="96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</row>
    <row r="338" spans="1:40" ht="15.7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96"/>
      <c r="N338" s="23"/>
      <c r="O338" s="23"/>
      <c r="P338" s="23"/>
      <c r="Q338" s="23"/>
      <c r="R338" s="23"/>
      <c r="S338" s="23"/>
      <c r="T338" s="23"/>
      <c r="U338" s="23"/>
      <c r="V338" s="96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</row>
    <row r="339" spans="1:40" ht="15.7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96"/>
      <c r="N339" s="23"/>
      <c r="O339" s="23"/>
      <c r="P339" s="23"/>
      <c r="Q339" s="23"/>
      <c r="R339" s="23"/>
      <c r="S339" s="23"/>
      <c r="T339" s="23"/>
      <c r="U339" s="23"/>
      <c r="V339" s="96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</row>
    <row r="340" spans="1:40" ht="15.7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96"/>
      <c r="N340" s="23"/>
      <c r="O340" s="23"/>
      <c r="P340" s="23"/>
      <c r="Q340" s="23"/>
      <c r="R340" s="23"/>
      <c r="S340" s="23"/>
      <c r="T340" s="23"/>
      <c r="U340" s="23"/>
      <c r="V340" s="96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</row>
    <row r="341" spans="1:40" ht="15.7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96"/>
      <c r="N341" s="23"/>
      <c r="O341" s="23"/>
      <c r="P341" s="23"/>
      <c r="Q341" s="23"/>
      <c r="R341" s="23"/>
      <c r="S341" s="23"/>
      <c r="T341" s="23"/>
      <c r="U341" s="23"/>
      <c r="V341" s="96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</row>
    <row r="342" spans="1:40" ht="15.7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96"/>
      <c r="N342" s="23"/>
      <c r="O342" s="23"/>
      <c r="P342" s="23"/>
      <c r="Q342" s="23"/>
      <c r="R342" s="23"/>
      <c r="S342" s="23"/>
      <c r="T342" s="23"/>
      <c r="U342" s="23"/>
      <c r="V342" s="96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</row>
    <row r="343" spans="1:40" ht="15.7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96"/>
      <c r="N343" s="23"/>
      <c r="O343" s="23"/>
      <c r="P343" s="23"/>
      <c r="Q343" s="23"/>
      <c r="R343" s="23"/>
      <c r="S343" s="23"/>
      <c r="T343" s="23"/>
      <c r="U343" s="23"/>
      <c r="V343" s="96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</row>
    <row r="344" spans="1:40" ht="15.7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96"/>
      <c r="N344" s="23"/>
      <c r="O344" s="23"/>
      <c r="P344" s="23"/>
      <c r="Q344" s="23"/>
      <c r="R344" s="23"/>
      <c r="S344" s="23"/>
      <c r="T344" s="23"/>
      <c r="U344" s="23"/>
      <c r="V344" s="96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</row>
    <row r="345" spans="1:40" ht="15.7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96"/>
      <c r="N345" s="23"/>
      <c r="O345" s="23"/>
      <c r="P345" s="23"/>
      <c r="Q345" s="23"/>
      <c r="R345" s="23"/>
      <c r="S345" s="23"/>
      <c r="T345" s="23"/>
      <c r="U345" s="23"/>
      <c r="V345" s="96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</row>
    <row r="346" spans="1:40" ht="15.7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96"/>
      <c r="N346" s="23"/>
      <c r="O346" s="23"/>
      <c r="P346" s="23"/>
      <c r="Q346" s="23"/>
      <c r="R346" s="23"/>
      <c r="S346" s="23"/>
      <c r="T346" s="23"/>
      <c r="U346" s="23"/>
      <c r="V346" s="96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</row>
    <row r="347" spans="1:40" ht="15.7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96"/>
      <c r="N347" s="23"/>
      <c r="O347" s="23"/>
      <c r="P347" s="23"/>
      <c r="Q347" s="23"/>
      <c r="R347" s="23"/>
      <c r="S347" s="23"/>
      <c r="T347" s="23"/>
      <c r="U347" s="23"/>
      <c r="V347" s="96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</row>
    <row r="348" spans="1:40" ht="15.7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96"/>
      <c r="N348" s="23"/>
      <c r="O348" s="23"/>
      <c r="P348" s="23"/>
      <c r="Q348" s="23"/>
      <c r="R348" s="23"/>
      <c r="S348" s="23"/>
      <c r="T348" s="23"/>
      <c r="U348" s="23"/>
      <c r="V348" s="96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</row>
    <row r="349" spans="1:40" ht="15.7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96"/>
      <c r="N349" s="23"/>
      <c r="O349" s="23"/>
      <c r="P349" s="23"/>
      <c r="Q349" s="23"/>
      <c r="R349" s="23"/>
      <c r="S349" s="23"/>
      <c r="T349" s="23"/>
      <c r="U349" s="23"/>
      <c r="V349" s="96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</row>
    <row r="350" spans="1:40" ht="15.7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96"/>
      <c r="N350" s="23"/>
      <c r="O350" s="23"/>
      <c r="P350" s="23"/>
      <c r="Q350" s="23"/>
      <c r="R350" s="23"/>
      <c r="S350" s="23"/>
      <c r="T350" s="23"/>
      <c r="U350" s="23"/>
      <c r="V350" s="96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</row>
    <row r="351" spans="1:40" ht="15.7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96"/>
      <c r="N351" s="23"/>
      <c r="O351" s="23"/>
      <c r="P351" s="23"/>
      <c r="Q351" s="23"/>
      <c r="R351" s="23"/>
      <c r="S351" s="23"/>
      <c r="T351" s="23"/>
      <c r="U351" s="23"/>
      <c r="V351" s="96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</row>
    <row r="352" spans="1:40" ht="15.7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96"/>
      <c r="N352" s="23"/>
      <c r="O352" s="23"/>
      <c r="P352" s="23"/>
      <c r="Q352" s="23"/>
      <c r="R352" s="23"/>
      <c r="S352" s="23"/>
      <c r="T352" s="23"/>
      <c r="U352" s="23"/>
      <c r="V352" s="96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</row>
    <row r="353" spans="1:40" ht="15.7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96"/>
      <c r="N353" s="23"/>
      <c r="O353" s="23"/>
      <c r="P353" s="23"/>
      <c r="Q353" s="23"/>
      <c r="R353" s="23"/>
      <c r="S353" s="23"/>
      <c r="T353" s="23"/>
      <c r="U353" s="23"/>
      <c r="V353" s="96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</row>
    <row r="354" spans="1:40" ht="15.7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96"/>
      <c r="N354" s="23"/>
      <c r="O354" s="23"/>
      <c r="P354" s="23"/>
      <c r="Q354" s="23"/>
      <c r="R354" s="23"/>
      <c r="S354" s="23"/>
      <c r="T354" s="23"/>
      <c r="U354" s="23"/>
      <c r="V354" s="96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</row>
    <row r="355" spans="1:40" ht="15.7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96"/>
      <c r="N355" s="23"/>
      <c r="O355" s="23"/>
      <c r="P355" s="23"/>
      <c r="Q355" s="23"/>
      <c r="R355" s="23"/>
      <c r="S355" s="23"/>
      <c r="T355" s="23"/>
      <c r="U355" s="23"/>
      <c r="V355" s="96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</row>
    <row r="356" spans="1:40" ht="15.7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96"/>
      <c r="N356" s="23"/>
      <c r="O356" s="23"/>
      <c r="P356" s="23"/>
      <c r="Q356" s="23"/>
      <c r="R356" s="23"/>
      <c r="S356" s="23"/>
      <c r="T356" s="23"/>
      <c r="U356" s="23"/>
      <c r="V356" s="96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15.7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96"/>
      <c r="N357" s="23"/>
      <c r="O357" s="23"/>
      <c r="P357" s="23"/>
      <c r="Q357" s="23"/>
      <c r="R357" s="23"/>
      <c r="S357" s="23"/>
      <c r="T357" s="23"/>
      <c r="U357" s="23"/>
      <c r="V357" s="96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5.7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96"/>
      <c r="N358" s="23"/>
      <c r="O358" s="23"/>
      <c r="P358" s="23"/>
      <c r="Q358" s="23"/>
      <c r="R358" s="23"/>
      <c r="S358" s="23"/>
      <c r="T358" s="23"/>
      <c r="U358" s="23"/>
      <c r="V358" s="96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15.7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96"/>
      <c r="N359" s="23"/>
      <c r="O359" s="23"/>
      <c r="P359" s="23"/>
      <c r="Q359" s="23"/>
      <c r="R359" s="23"/>
      <c r="S359" s="23"/>
      <c r="T359" s="23"/>
      <c r="U359" s="23"/>
      <c r="V359" s="96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15.7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96"/>
      <c r="N360" s="23"/>
      <c r="O360" s="23"/>
      <c r="P360" s="23"/>
      <c r="Q360" s="23"/>
      <c r="R360" s="23"/>
      <c r="S360" s="23"/>
      <c r="T360" s="23"/>
      <c r="U360" s="23"/>
      <c r="V360" s="96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15.7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96"/>
      <c r="N361" s="23"/>
      <c r="O361" s="23"/>
      <c r="P361" s="23"/>
      <c r="Q361" s="23"/>
      <c r="R361" s="23"/>
      <c r="S361" s="23"/>
      <c r="T361" s="23"/>
      <c r="U361" s="23"/>
      <c r="V361" s="96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15.7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96"/>
      <c r="N362" s="23"/>
      <c r="O362" s="23"/>
      <c r="P362" s="23"/>
      <c r="Q362" s="23"/>
      <c r="R362" s="23"/>
      <c r="S362" s="23"/>
      <c r="T362" s="23"/>
      <c r="U362" s="23"/>
      <c r="V362" s="96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15.7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96"/>
      <c r="N363" s="23"/>
      <c r="O363" s="23"/>
      <c r="P363" s="23"/>
      <c r="Q363" s="23"/>
      <c r="R363" s="23"/>
      <c r="S363" s="23"/>
      <c r="T363" s="23"/>
      <c r="U363" s="23"/>
      <c r="V363" s="96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15.7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96"/>
      <c r="N364" s="23"/>
      <c r="O364" s="23"/>
      <c r="P364" s="23"/>
      <c r="Q364" s="23"/>
      <c r="R364" s="23"/>
      <c r="S364" s="23"/>
      <c r="T364" s="23"/>
      <c r="U364" s="23"/>
      <c r="V364" s="96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15.7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96"/>
      <c r="N365" s="23"/>
      <c r="O365" s="23"/>
      <c r="P365" s="23"/>
      <c r="Q365" s="23"/>
      <c r="R365" s="23"/>
      <c r="S365" s="23"/>
      <c r="T365" s="23"/>
      <c r="U365" s="23"/>
      <c r="V365" s="96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15.7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96"/>
      <c r="N366" s="23"/>
      <c r="O366" s="23"/>
      <c r="P366" s="23"/>
      <c r="Q366" s="23"/>
      <c r="R366" s="23"/>
      <c r="S366" s="23"/>
      <c r="T366" s="23"/>
      <c r="U366" s="23"/>
      <c r="V366" s="96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15.7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96"/>
      <c r="N367" s="23"/>
      <c r="O367" s="23"/>
      <c r="P367" s="23"/>
      <c r="Q367" s="23"/>
      <c r="R367" s="23"/>
      <c r="S367" s="23"/>
      <c r="T367" s="23"/>
      <c r="U367" s="23"/>
      <c r="V367" s="96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15.7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96"/>
      <c r="N368" s="23"/>
      <c r="O368" s="23"/>
      <c r="P368" s="23"/>
      <c r="Q368" s="23"/>
      <c r="R368" s="23"/>
      <c r="S368" s="23"/>
      <c r="T368" s="23"/>
      <c r="U368" s="23"/>
      <c r="V368" s="96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96"/>
      <c r="N369" s="23"/>
      <c r="O369" s="23"/>
      <c r="P369" s="23"/>
      <c r="Q369" s="23"/>
      <c r="R369" s="23"/>
      <c r="S369" s="23"/>
      <c r="T369" s="23"/>
      <c r="U369" s="23"/>
      <c r="V369" s="96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96"/>
      <c r="N370" s="23"/>
      <c r="O370" s="23"/>
      <c r="P370" s="23"/>
      <c r="Q370" s="23"/>
      <c r="R370" s="23"/>
      <c r="S370" s="23"/>
      <c r="T370" s="23"/>
      <c r="U370" s="23"/>
      <c r="V370" s="96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96"/>
      <c r="N371" s="23"/>
      <c r="O371" s="23"/>
      <c r="P371" s="23"/>
      <c r="Q371" s="23"/>
      <c r="R371" s="23"/>
      <c r="S371" s="23"/>
      <c r="T371" s="23"/>
      <c r="U371" s="23"/>
      <c r="V371" s="96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96"/>
      <c r="N372" s="23"/>
      <c r="O372" s="23"/>
      <c r="P372" s="23"/>
      <c r="Q372" s="23"/>
      <c r="R372" s="23"/>
      <c r="S372" s="23"/>
      <c r="T372" s="23"/>
      <c r="U372" s="23"/>
      <c r="V372" s="96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96"/>
      <c r="N373" s="23"/>
      <c r="O373" s="23"/>
      <c r="P373" s="23"/>
      <c r="Q373" s="23"/>
      <c r="R373" s="23"/>
      <c r="S373" s="23"/>
      <c r="T373" s="23"/>
      <c r="U373" s="23"/>
      <c r="V373" s="96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96"/>
      <c r="N374" s="23"/>
      <c r="O374" s="23"/>
      <c r="P374" s="23"/>
      <c r="Q374" s="23"/>
      <c r="R374" s="23"/>
      <c r="S374" s="23"/>
      <c r="T374" s="23"/>
      <c r="U374" s="23"/>
      <c r="V374" s="96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96"/>
      <c r="N375" s="23"/>
      <c r="O375" s="23"/>
      <c r="P375" s="23"/>
      <c r="Q375" s="23"/>
      <c r="R375" s="23"/>
      <c r="S375" s="23"/>
      <c r="T375" s="23"/>
      <c r="U375" s="23"/>
      <c r="V375" s="96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96"/>
      <c r="N376" s="23"/>
      <c r="O376" s="23"/>
      <c r="P376" s="23"/>
      <c r="Q376" s="23"/>
      <c r="R376" s="23"/>
      <c r="S376" s="23"/>
      <c r="T376" s="23"/>
      <c r="U376" s="23"/>
      <c r="V376" s="96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96"/>
      <c r="N377" s="23"/>
      <c r="O377" s="23"/>
      <c r="P377" s="23"/>
      <c r="Q377" s="23"/>
      <c r="R377" s="23"/>
      <c r="S377" s="23"/>
      <c r="T377" s="23"/>
      <c r="U377" s="23"/>
      <c r="V377" s="96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96"/>
      <c r="N378" s="23"/>
      <c r="O378" s="23"/>
      <c r="P378" s="23"/>
      <c r="Q378" s="23"/>
      <c r="R378" s="23"/>
      <c r="S378" s="23"/>
      <c r="T378" s="23"/>
      <c r="U378" s="23"/>
      <c r="V378" s="96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96"/>
      <c r="N379" s="23"/>
      <c r="O379" s="23"/>
      <c r="P379" s="23"/>
      <c r="Q379" s="23"/>
      <c r="R379" s="23"/>
      <c r="S379" s="23"/>
      <c r="T379" s="23"/>
      <c r="U379" s="23"/>
      <c r="V379" s="96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96"/>
      <c r="N380" s="23"/>
      <c r="O380" s="23"/>
      <c r="P380" s="23"/>
      <c r="Q380" s="23"/>
      <c r="R380" s="23"/>
      <c r="S380" s="23"/>
      <c r="T380" s="23"/>
      <c r="U380" s="23"/>
      <c r="V380" s="96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96"/>
      <c r="N381" s="23"/>
      <c r="O381" s="23"/>
      <c r="P381" s="23"/>
      <c r="Q381" s="23"/>
      <c r="R381" s="23"/>
      <c r="S381" s="23"/>
      <c r="T381" s="23"/>
      <c r="U381" s="23"/>
      <c r="V381" s="96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96"/>
      <c r="N382" s="23"/>
      <c r="O382" s="23"/>
      <c r="P382" s="23"/>
      <c r="Q382" s="23"/>
      <c r="R382" s="23"/>
      <c r="S382" s="23"/>
      <c r="T382" s="23"/>
      <c r="U382" s="23"/>
      <c r="V382" s="96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15.7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96"/>
      <c r="N383" s="23"/>
      <c r="O383" s="23"/>
      <c r="P383" s="23"/>
      <c r="Q383" s="23"/>
      <c r="R383" s="23"/>
      <c r="S383" s="23"/>
      <c r="T383" s="23"/>
      <c r="U383" s="23"/>
      <c r="V383" s="96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15.7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96"/>
      <c r="N384" s="23"/>
      <c r="O384" s="23"/>
      <c r="P384" s="23"/>
      <c r="Q384" s="23"/>
      <c r="R384" s="23"/>
      <c r="S384" s="23"/>
      <c r="T384" s="23"/>
      <c r="U384" s="23"/>
      <c r="V384" s="96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15.7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96"/>
      <c r="N385" s="23"/>
      <c r="O385" s="23"/>
      <c r="P385" s="23"/>
      <c r="Q385" s="23"/>
      <c r="R385" s="23"/>
      <c r="S385" s="23"/>
      <c r="T385" s="23"/>
      <c r="U385" s="23"/>
      <c r="V385" s="96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15.7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96"/>
      <c r="N386" s="23"/>
      <c r="O386" s="23"/>
      <c r="P386" s="23"/>
      <c r="Q386" s="23"/>
      <c r="R386" s="23"/>
      <c r="S386" s="23"/>
      <c r="T386" s="23"/>
      <c r="U386" s="23"/>
      <c r="V386" s="96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15.7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96"/>
      <c r="N387" s="23"/>
      <c r="O387" s="23"/>
      <c r="P387" s="23"/>
      <c r="Q387" s="23"/>
      <c r="R387" s="23"/>
      <c r="S387" s="23"/>
      <c r="T387" s="23"/>
      <c r="U387" s="23"/>
      <c r="V387" s="96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15.7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96"/>
      <c r="N388" s="23"/>
      <c r="O388" s="23"/>
      <c r="P388" s="23"/>
      <c r="Q388" s="23"/>
      <c r="R388" s="23"/>
      <c r="S388" s="23"/>
      <c r="T388" s="23"/>
      <c r="U388" s="23"/>
      <c r="V388" s="96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15.7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96"/>
      <c r="N389" s="23"/>
      <c r="O389" s="23"/>
      <c r="P389" s="23"/>
      <c r="Q389" s="23"/>
      <c r="R389" s="23"/>
      <c r="S389" s="23"/>
      <c r="T389" s="23"/>
      <c r="U389" s="23"/>
      <c r="V389" s="96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15.7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96"/>
      <c r="N390" s="23"/>
      <c r="O390" s="23"/>
      <c r="P390" s="23"/>
      <c r="Q390" s="23"/>
      <c r="R390" s="23"/>
      <c r="S390" s="23"/>
      <c r="T390" s="23"/>
      <c r="U390" s="23"/>
      <c r="V390" s="96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96"/>
      <c r="N391" s="23"/>
      <c r="O391" s="23"/>
      <c r="P391" s="23"/>
      <c r="Q391" s="23"/>
      <c r="R391" s="23"/>
      <c r="S391" s="23"/>
      <c r="T391" s="23"/>
      <c r="U391" s="23"/>
      <c r="V391" s="96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96"/>
      <c r="N392" s="23"/>
      <c r="O392" s="23"/>
      <c r="P392" s="23"/>
      <c r="Q392" s="23"/>
      <c r="R392" s="23"/>
      <c r="S392" s="23"/>
      <c r="T392" s="23"/>
      <c r="U392" s="23"/>
      <c r="V392" s="96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96"/>
      <c r="N393" s="23"/>
      <c r="O393" s="23"/>
      <c r="P393" s="23"/>
      <c r="Q393" s="23"/>
      <c r="R393" s="23"/>
      <c r="S393" s="23"/>
      <c r="T393" s="23"/>
      <c r="U393" s="23"/>
      <c r="V393" s="96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96"/>
      <c r="N394" s="23"/>
      <c r="O394" s="23"/>
      <c r="P394" s="23"/>
      <c r="Q394" s="23"/>
      <c r="R394" s="23"/>
      <c r="S394" s="23"/>
      <c r="T394" s="23"/>
      <c r="U394" s="23"/>
      <c r="V394" s="96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96"/>
      <c r="N395" s="23"/>
      <c r="O395" s="23"/>
      <c r="P395" s="23"/>
      <c r="Q395" s="23"/>
      <c r="R395" s="23"/>
      <c r="S395" s="23"/>
      <c r="T395" s="23"/>
      <c r="U395" s="23"/>
      <c r="V395" s="96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96"/>
      <c r="N396" s="23"/>
      <c r="O396" s="23"/>
      <c r="P396" s="23"/>
      <c r="Q396" s="23"/>
      <c r="R396" s="23"/>
      <c r="S396" s="23"/>
      <c r="T396" s="23"/>
      <c r="U396" s="23"/>
      <c r="V396" s="96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96"/>
      <c r="N397" s="23"/>
      <c r="O397" s="23"/>
      <c r="P397" s="23"/>
      <c r="Q397" s="23"/>
      <c r="R397" s="23"/>
      <c r="S397" s="23"/>
      <c r="T397" s="23"/>
      <c r="U397" s="23"/>
      <c r="V397" s="96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96"/>
      <c r="N398" s="23"/>
      <c r="O398" s="23"/>
      <c r="P398" s="23"/>
      <c r="Q398" s="23"/>
      <c r="R398" s="23"/>
      <c r="S398" s="23"/>
      <c r="T398" s="23"/>
      <c r="U398" s="23"/>
      <c r="V398" s="96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96"/>
      <c r="N399" s="23"/>
      <c r="O399" s="23"/>
      <c r="P399" s="23"/>
      <c r="Q399" s="23"/>
      <c r="R399" s="23"/>
      <c r="S399" s="23"/>
      <c r="T399" s="23"/>
      <c r="U399" s="23"/>
      <c r="V399" s="96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15.7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96"/>
      <c r="N400" s="23"/>
      <c r="O400" s="23"/>
      <c r="P400" s="23"/>
      <c r="Q400" s="23"/>
      <c r="R400" s="23"/>
      <c r="S400" s="23"/>
      <c r="T400" s="23"/>
      <c r="U400" s="23"/>
      <c r="V400" s="96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40" ht="15.7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96"/>
      <c r="N401" s="23"/>
      <c r="O401" s="23"/>
      <c r="P401" s="23"/>
      <c r="Q401" s="23"/>
      <c r="R401" s="23"/>
      <c r="S401" s="23"/>
      <c r="T401" s="23"/>
      <c r="U401" s="23"/>
      <c r="V401" s="96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</row>
    <row r="402" spans="1:40" ht="15.7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96"/>
      <c r="N402" s="23"/>
      <c r="O402" s="23"/>
      <c r="P402" s="23"/>
      <c r="Q402" s="23"/>
      <c r="R402" s="23"/>
      <c r="S402" s="23"/>
      <c r="T402" s="23"/>
      <c r="U402" s="23"/>
      <c r="V402" s="96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</row>
    <row r="403" spans="1:40" ht="15.7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96"/>
      <c r="N403" s="23"/>
      <c r="O403" s="23"/>
      <c r="P403" s="23"/>
      <c r="Q403" s="23"/>
      <c r="R403" s="23"/>
      <c r="S403" s="23"/>
      <c r="T403" s="23"/>
      <c r="U403" s="23"/>
      <c r="V403" s="96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</row>
    <row r="404" spans="1:40" ht="15.7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96"/>
      <c r="N404" s="23"/>
      <c r="O404" s="23"/>
      <c r="P404" s="23"/>
      <c r="Q404" s="23"/>
      <c r="R404" s="23"/>
      <c r="S404" s="23"/>
      <c r="T404" s="23"/>
      <c r="U404" s="23"/>
      <c r="V404" s="96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</row>
    <row r="405" spans="1:40" ht="15.7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96"/>
      <c r="N405" s="23"/>
      <c r="O405" s="23"/>
      <c r="P405" s="23"/>
      <c r="Q405" s="23"/>
      <c r="R405" s="23"/>
      <c r="S405" s="23"/>
      <c r="T405" s="23"/>
      <c r="U405" s="23"/>
      <c r="V405" s="96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</row>
    <row r="406" spans="1:40" ht="15.7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96"/>
      <c r="N406" s="23"/>
      <c r="O406" s="23"/>
      <c r="P406" s="23"/>
      <c r="Q406" s="23"/>
      <c r="R406" s="23"/>
      <c r="S406" s="23"/>
      <c r="T406" s="23"/>
      <c r="U406" s="23"/>
      <c r="V406" s="96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</row>
    <row r="407" spans="1:40" ht="15.7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96"/>
      <c r="N407" s="23"/>
      <c r="O407" s="23"/>
      <c r="P407" s="23"/>
      <c r="Q407" s="23"/>
      <c r="R407" s="23"/>
      <c r="S407" s="23"/>
      <c r="T407" s="23"/>
      <c r="U407" s="23"/>
      <c r="V407" s="96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</row>
    <row r="408" spans="1:40" ht="15.7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96"/>
      <c r="N408" s="23"/>
      <c r="O408" s="23"/>
      <c r="P408" s="23"/>
      <c r="Q408" s="23"/>
      <c r="R408" s="23"/>
      <c r="S408" s="23"/>
      <c r="T408" s="23"/>
      <c r="U408" s="23"/>
      <c r="V408" s="96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</row>
    <row r="409" spans="1:40" ht="15.7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96"/>
      <c r="N409" s="23"/>
      <c r="O409" s="23"/>
      <c r="P409" s="23"/>
      <c r="Q409" s="23"/>
      <c r="R409" s="23"/>
      <c r="S409" s="23"/>
      <c r="T409" s="23"/>
      <c r="U409" s="23"/>
      <c r="V409" s="96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</row>
    <row r="410" spans="1:40" ht="15.7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96"/>
      <c r="N410" s="23"/>
      <c r="O410" s="23"/>
      <c r="P410" s="23"/>
      <c r="Q410" s="23"/>
      <c r="R410" s="23"/>
      <c r="S410" s="23"/>
      <c r="T410" s="23"/>
      <c r="U410" s="23"/>
      <c r="V410" s="96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</row>
    <row r="411" spans="1:40" ht="15.7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96"/>
      <c r="N411" s="23"/>
      <c r="O411" s="23"/>
      <c r="P411" s="23"/>
      <c r="Q411" s="23"/>
      <c r="R411" s="23"/>
      <c r="S411" s="23"/>
      <c r="T411" s="23"/>
      <c r="U411" s="23"/>
      <c r="V411" s="96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</row>
    <row r="412" spans="1:40" ht="15.7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96"/>
      <c r="N412" s="23"/>
      <c r="O412" s="23"/>
      <c r="P412" s="23"/>
      <c r="Q412" s="23"/>
      <c r="R412" s="23"/>
      <c r="S412" s="23"/>
      <c r="T412" s="23"/>
      <c r="U412" s="23"/>
      <c r="V412" s="96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</row>
    <row r="413" spans="1:40" ht="15.7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96"/>
      <c r="N413" s="23"/>
      <c r="O413" s="23"/>
      <c r="P413" s="23"/>
      <c r="Q413" s="23"/>
      <c r="R413" s="23"/>
      <c r="S413" s="23"/>
      <c r="T413" s="23"/>
      <c r="U413" s="23"/>
      <c r="V413" s="96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</row>
    <row r="414" spans="1:40" ht="15.7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96"/>
      <c r="N414" s="23"/>
      <c r="O414" s="23"/>
      <c r="P414" s="23"/>
      <c r="Q414" s="23"/>
      <c r="R414" s="23"/>
      <c r="S414" s="23"/>
      <c r="T414" s="23"/>
      <c r="U414" s="23"/>
      <c r="V414" s="96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</row>
    <row r="415" spans="1:40" ht="15.7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96"/>
      <c r="N415" s="23"/>
      <c r="O415" s="23"/>
      <c r="P415" s="23"/>
      <c r="Q415" s="23"/>
      <c r="R415" s="23"/>
      <c r="S415" s="23"/>
      <c r="T415" s="23"/>
      <c r="U415" s="23"/>
      <c r="V415" s="96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</row>
    <row r="416" spans="1:40" ht="15.7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96"/>
      <c r="N416" s="23"/>
      <c r="O416" s="23"/>
      <c r="P416" s="23"/>
      <c r="Q416" s="23"/>
      <c r="R416" s="23"/>
      <c r="S416" s="23"/>
      <c r="T416" s="23"/>
      <c r="U416" s="23"/>
      <c r="V416" s="96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</row>
    <row r="417" spans="1:40" ht="15.7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96"/>
      <c r="N417" s="23"/>
      <c r="O417" s="23"/>
      <c r="P417" s="23"/>
      <c r="Q417" s="23"/>
      <c r="R417" s="23"/>
      <c r="S417" s="23"/>
      <c r="T417" s="23"/>
      <c r="U417" s="23"/>
      <c r="V417" s="96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</row>
    <row r="418" spans="1:40" ht="15.7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96"/>
      <c r="N418" s="23"/>
      <c r="O418" s="23"/>
      <c r="P418" s="23"/>
      <c r="Q418" s="23"/>
      <c r="R418" s="23"/>
      <c r="S418" s="23"/>
      <c r="T418" s="23"/>
      <c r="U418" s="23"/>
      <c r="V418" s="96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</row>
    <row r="419" spans="1:40" ht="15.7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96"/>
      <c r="N419" s="23"/>
      <c r="O419" s="23"/>
      <c r="P419" s="23"/>
      <c r="Q419" s="23"/>
      <c r="R419" s="23"/>
      <c r="S419" s="23"/>
      <c r="T419" s="23"/>
      <c r="U419" s="23"/>
      <c r="V419" s="96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</row>
    <row r="420" spans="1:40" ht="15.7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96"/>
      <c r="N420" s="23"/>
      <c r="O420" s="23"/>
      <c r="P420" s="23"/>
      <c r="Q420" s="23"/>
      <c r="R420" s="23"/>
      <c r="S420" s="23"/>
      <c r="T420" s="23"/>
      <c r="U420" s="23"/>
      <c r="V420" s="96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</row>
    <row r="421" spans="1:40" ht="15.7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96"/>
      <c r="N421" s="23"/>
      <c r="O421" s="23"/>
      <c r="P421" s="23"/>
      <c r="Q421" s="23"/>
      <c r="R421" s="23"/>
      <c r="S421" s="23"/>
      <c r="T421" s="23"/>
      <c r="U421" s="23"/>
      <c r="V421" s="96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</row>
    <row r="422" spans="1:40" ht="15.7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96"/>
      <c r="N422" s="23"/>
      <c r="O422" s="23"/>
      <c r="P422" s="23"/>
      <c r="Q422" s="23"/>
      <c r="R422" s="23"/>
      <c r="S422" s="23"/>
      <c r="T422" s="23"/>
      <c r="U422" s="23"/>
      <c r="V422" s="96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</row>
    <row r="423" spans="1:40" ht="15.7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96"/>
      <c r="N423" s="23"/>
      <c r="O423" s="23"/>
      <c r="P423" s="23"/>
      <c r="Q423" s="23"/>
      <c r="R423" s="23"/>
      <c r="S423" s="23"/>
      <c r="T423" s="23"/>
      <c r="U423" s="23"/>
      <c r="V423" s="96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</row>
    <row r="424" spans="1:40" ht="15.7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96"/>
      <c r="N424" s="23"/>
      <c r="O424" s="23"/>
      <c r="P424" s="23"/>
      <c r="Q424" s="23"/>
      <c r="R424" s="23"/>
      <c r="S424" s="23"/>
      <c r="T424" s="23"/>
      <c r="U424" s="23"/>
      <c r="V424" s="96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</row>
    <row r="425" spans="1:40" ht="15.7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96"/>
      <c r="N425" s="23"/>
      <c r="O425" s="23"/>
      <c r="P425" s="23"/>
      <c r="Q425" s="23"/>
      <c r="R425" s="23"/>
      <c r="S425" s="23"/>
      <c r="T425" s="23"/>
      <c r="U425" s="23"/>
      <c r="V425" s="96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</row>
    <row r="426" spans="1:40" ht="15.7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96"/>
      <c r="N426" s="23"/>
      <c r="O426" s="23"/>
      <c r="P426" s="23"/>
      <c r="Q426" s="23"/>
      <c r="R426" s="23"/>
      <c r="S426" s="23"/>
      <c r="T426" s="23"/>
      <c r="U426" s="23"/>
      <c r="V426" s="96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</row>
    <row r="427" spans="1:40" ht="15.7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96"/>
      <c r="N427" s="23"/>
      <c r="O427" s="23"/>
      <c r="P427" s="23"/>
      <c r="Q427" s="23"/>
      <c r="R427" s="23"/>
      <c r="S427" s="23"/>
      <c r="T427" s="23"/>
      <c r="U427" s="23"/>
      <c r="V427" s="96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</row>
    <row r="428" spans="1:40" ht="15.7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96"/>
      <c r="N428" s="23"/>
      <c r="O428" s="23"/>
      <c r="P428" s="23"/>
      <c r="Q428" s="23"/>
      <c r="R428" s="23"/>
      <c r="S428" s="23"/>
      <c r="T428" s="23"/>
      <c r="U428" s="23"/>
      <c r="V428" s="96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</row>
    <row r="429" spans="1:40" ht="15.7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96"/>
      <c r="N429" s="23"/>
      <c r="O429" s="23"/>
      <c r="P429" s="23"/>
      <c r="Q429" s="23"/>
      <c r="R429" s="23"/>
      <c r="S429" s="23"/>
      <c r="T429" s="23"/>
      <c r="U429" s="23"/>
      <c r="V429" s="96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</row>
    <row r="430" spans="1:40" ht="15.7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96"/>
      <c r="N430" s="23"/>
      <c r="O430" s="23"/>
      <c r="P430" s="23"/>
      <c r="Q430" s="23"/>
      <c r="R430" s="23"/>
      <c r="S430" s="23"/>
      <c r="T430" s="23"/>
      <c r="U430" s="23"/>
      <c r="V430" s="96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</row>
    <row r="431" spans="1:40" ht="15.7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96"/>
      <c r="N431" s="23"/>
      <c r="O431" s="23"/>
      <c r="P431" s="23"/>
      <c r="Q431" s="23"/>
      <c r="R431" s="23"/>
      <c r="S431" s="23"/>
      <c r="T431" s="23"/>
      <c r="U431" s="23"/>
      <c r="V431" s="96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</row>
    <row r="432" spans="1:40" ht="15.7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96"/>
      <c r="N432" s="23"/>
      <c r="O432" s="23"/>
      <c r="P432" s="23"/>
      <c r="Q432" s="23"/>
      <c r="R432" s="23"/>
      <c r="S432" s="23"/>
      <c r="T432" s="23"/>
      <c r="U432" s="23"/>
      <c r="V432" s="96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</row>
    <row r="433" spans="1:40" ht="15.7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96"/>
      <c r="N433" s="23"/>
      <c r="O433" s="23"/>
      <c r="P433" s="23"/>
      <c r="Q433" s="23"/>
      <c r="R433" s="23"/>
      <c r="S433" s="23"/>
      <c r="T433" s="23"/>
      <c r="U433" s="23"/>
      <c r="V433" s="96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</row>
    <row r="434" spans="1:40" ht="15.7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96"/>
      <c r="N434" s="23"/>
      <c r="O434" s="23"/>
      <c r="P434" s="23"/>
      <c r="Q434" s="23"/>
      <c r="R434" s="23"/>
      <c r="S434" s="23"/>
      <c r="T434" s="23"/>
      <c r="U434" s="23"/>
      <c r="V434" s="96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</row>
    <row r="435" spans="1:40" ht="15.7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96"/>
      <c r="N435" s="23"/>
      <c r="O435" s="23"/>
      <c r="P435" s="23"/>
      <c r="Q435" s="23"/>
      <c r="R435" s="23"/>
      <c r="S435" s="23"/>
      <c r="T435" s="23"/>
      <c r="U435" s="23"/>
      <c r="V435" s="96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</row>
    <row r="436" spans="1:40" ht="15.7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96"/>
      <c r="N436" s="23"/>
      <c r="O436" s="23"/>
      <c r="P436" s="23"/>
      <c r="Q436" s="23"/>
      <c r="R436" s="23"/>
      <c r="S436" s="23"/>
      <c r="T436" s="23"/>
      <c r="U436" s="23"/>
      <c r="V436" s="96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</row>
    <row r="437" spans="1:40" ht="15.7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96"/>
      <c r="N437" s="23"/>
      <c r="O437" s="23"/>
      <c r="P437" s="23"/>
      <c r="Q437" s="23"/>
      <c r="R437" s="23"/>
      <c r="S437" s="23"/>
      <c r="T437" s="23"/>
      <c r="U437" s="23"/>
      <c r="V437" s="96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</row>
    <row r="438" spans="1:40" ht="15.7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96"/>
      <c r="N438" s="23"/>
      <c r="O438" s="23"/>
      <c r="P438" s="23"/>
      <c r="Q438" s="23"/>
      <c r="R438" s="23"/>
      <c r="S438" s="23"/>
      <c r="T438" s="23"/>
      <c r="U438" s="23"/>
      <c r="V438" s="96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</row>
    <row r="439" spans="1:40" ht="15.7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96"/>
      <c r="N439" s="23"/>
      <c r="O439" s="23"/>
      <c r="P439" s="23"/>
      <c r="Q439" s="23"/>
      <c r="R439" s="23"/>
      <c r="S439" s="23"/>
      <c r="T439" s="23"/>
      <c r="U439" s="23"/>
      <c r="V439" s="96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</row>
    <row r="440" spans="1:40" ht="15.7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96"/>
      <c r="N440" s="23"/>
      <c r="O440" s="23"/>
      <c r="P440" s="23"/>
      <c r="Q440" s="23"/>
      <c r="R440" s="23"/>
      <c r="S440" s="23"/>
      <c r="T440" s="23"/>
      <c r="U440" s="23"/>
      <c r="V440" s="96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</row>
    <row r="441" spans="1:40" ht="15.7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96"/>
      <c r="N441" s="23"/>
      <c r="O441" s="23"/>
      <c r="P441" s="23"/>
      <c r="Q441" s="23"/>
      <c r="R441" s="23"/>
      <c r="S441" s="23"/>
      <c r="T441" s="23"/>
      <c r="U441" s="23"/>
      <c r="V441" s="96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</row>
    <row r="442" spans="1:40" ht="15.7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96"/>
      <c r="N442" s="23"/>
      <c r="O442" s="23"/>
      <c r="P442" s="23"/>
      <c r="Q442" s="23"/>
      <c r="R442" s="23"/>
      <c r="S442" s="23"/>
      <c r="T442" s="23"/>
      <c r="U442" s="23"/>
      <c r="V442" s="96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</row>
    <row r="443" spans="1:40" ht="15.7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96"/>
      <c r="N443" s="23"/>
      <c r="O443" s="23"/>
      <c r="P443" s="23"/>
      <c r="Q443" s="23"/>
      <c r="R443" s="23"/>
      <c r="S443" s="23"/>
      <c r="T443" s="23"/>
      <c r="U443" s="23"/>
      <c r="V443" s="96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</row>
    <row r="444" spans="1:40" ht="15.7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96"/>
      <c r="N444" s="23"/>
      <c r="O444" s="23"/>
      <c r="P444" s="23"/>
      <c r="Q444" s="23"/>
      <c r="R444" s="23"/>
      <c r="S444" s="23"/>
      <c r="T444" s="23"/>
      <c r="U444" s="23"/>
      <c r="V444" s="96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</row>
    <row r="445" spans="1:40" ht="15.7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96"/>
      <c r="N445" s="23"/>
      <c r="O445" s="23"/>
      <c r="P445" s="23"/>
      <c r="Q445" s="23"/>
      <c r="R445" s="23"/>
      <c r="S445" s="23"/>
      <c r="T445" s="23"/>
      <c r="U445" s="23"/>
      <c r="V445" s="96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</row>
    <row r="446" spans="1:40" ht="15.7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96"/>
      <c r="N446" s="23"/>
      <c r="O446" s="23"/>
      <c r="P446" s="23"/>
      <c r="Q446" s="23"/>
      <c r="R446" s="23"/>
      <c r="S446" s="23"/>
      <c r="T446" s="23"/>
      <c r="U446" s="23"/>
      <c r="V446" s="96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</row>
    <row r="447" spans="1:40" ht="15.7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96"/>
      <c r="N447" s="23"/>
      <c r="O447" s="23"/>
      <c r="P447" s="23"/>
      <c r="Q447" s="23"/>
      <c r="R447" s="23"/>
      <c r="S447" s="23"/>
      <c r="T447" s="23"/>
      <c r="U447" s="23"/>
      <c r="V447" s="96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</row>
    <row r="448" spans="1:40" ht="15.7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96"/>
      <c r="N448" s="23"/>
      <c r="O448" s="23"/>
      <c r="P448" s="23"/>
      <c r="Q448" s="23"/>
      <c r="R448" s="23"/>
      <c r="S448" s="23"/>
      <c r="T448" s="23"/>
      <c r="U448" s="23"/>
      <c r="V448" s="96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</row>
    <row r="449" spans="1:40" ht="15.7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96"/>
      <c r="N449" s="23"/>
      <c r="O449" s="23"/>
      <c r="P449" s="23"/>
      <c r="Q449" s="23"/>
      <c r="R449" s="23"/>
      <c r="S449" s="23"/>
      <c r="T449" s="23"/>
      <c r="U449" s="23"/>
      <c r="V449" s="96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</row>
    <row r="450" spans="1:40" ht="15.7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96"/>
      <c r="N450" s="23"/>
      <c r="O450" s="23"/>
      <c r="P450" s="23"/>
      <c r="Q450" s="23"/>
      <c r="R450" s="23"/>
      <c r="S450" s="23"/>
      <c r="T450" s="23"/>
      <c r="U450" s="23"/>
      <c r="V450" s="96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</row>
    <row r="451" spans="1:40" ht="15.7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96"/>
      <c r="N451" s="23"/>
      <c r="O451" s="23"/>
      <c r="P451" s="23"/>
      <c r="Q451" s="23"/>
      <c r="R451" s="23"/>
      <c r="S451" s="23"/>
      <c r="T451" s="23"/>
      <c r="U451" s="23"/>
      <c r="V451" s="96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</row>
    <row r="452" spans="1:40" ht="15.7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96"/>
      <c r="N452" s="23"/>
      <c r="O452" s="23"/>
      <c r="P452" s="23"/>
      <c r="Q452" s="23"/>
      <c r="R452" s="23"/>
      <c r="S452" s="23"/>
      <c r="T452" s="23"/>
      <c r="U452" s="23"/>
      <c r="V452" s="96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</row>
    <row r="453" spans="1:40" ht="15.7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96"/>
      <c r="N453" s="23"/>
      <c r="O453" s="23"/>
      <c r="P453" s="23"/>
      <c r="Q453" s="23"/>
      <c r="R453" s="23"/>
      <c r="S453" s="23"/>
      <c r="T453" s="23"/>
      <c r="U453" s="23"/>
      <c r="V453" s="96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</row>
    <row r="454" spans="1:40" ht="15.7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96"/>
      <c r="N454" s="23"/>
      <c r="O454" s="23"/>
      <c r="P454" s="23"/>
      <c r="Q454" s="23"/>
      <c r="R454" s="23"/>
      <c r="S454" s="23"/>
      <c r="T454" s="23"/>
      <c r="U454" s="23"/>
      <c r="V454" s="96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</row>
    <row r="455" spans="1:40" ht="15.7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96"/>
      <c r="N455" s="23"/>
      <c r="O455" s="23"/>
      <c r="P455" s="23"/>
      <c r="Q455" s="23"/>
      <c r="R455" s="23"/>
      <c r="S455" s="23"/>
      <c r="T455" s="23"/>
      <c r="U455" s="23"/>
      <c r="V455" s="96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</row>
    <row r="456" spans="1:40" ht="15.7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96"/>
      <c r="N456" s="23"/>
      <c r="O456" s="23"/>
      <c r="P456" s="23"/>
      <c r="Q456" s="23"/>
      <c r="R456" s="23"/>
      <c r="S456" s="23"/>
      <c r="T456" s="23"/>
      <c r="U456" s="23"/>
      <c r="V456" s="96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</row>
    <row r="457" spans="1:40" ht="15.7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96"/>
      <c r="N457" s="23"/>
      <c r="O457" s="23"/>
      <c r="P457" s="23"/>
      <c r="Q457" s="23"/>
      <c r="R457" s="23"/>
      <c r="S457" s="23"/>
      <c r="T457" s="23"/>
      <c r="U457" s="23"/>
      <c r="V457" s="96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</row>
    <row r="458" spans="1:40" ht="15.7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96"/>
      <c r="N458" s="23"/>
      <c r="O458" s="23"/>
      <c r="P458" s="23"/>
      <c r="Q458" s="23"/>
      <c r="R458" s="23"/>
      <c r="S458" s="23"/>
      <c r="T458" s="23"/>
      <c r="U458" s="23"/>
      <c r="V458" s="96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</row>
    <row r="459" spans="1:40" ht="15.7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96"/>
      <c r="N459" s="23"/>
      <c r="O459" s="23"/>
      <c r="P459" s="23"/>
      <c r="Q459" s="23"/>
      <c r="R459" s="23"/>
      <c r="S459" s="23"/>
      <c r="T459" s="23"/>
      <c r="U459" s="23"/>
      <c r="V459" s="96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</row>
    <row r="460" spans="1:40" ht="15.7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96"/>
      <c r="N460" s="23"/>
      <c r="O460" s="23"/>
      <c r="P460" s="23"/>
      <c r="Q460" s="23"/>
      <c r="R460" s="23"/>
      <c r="S460" s="23"/>
      <c r="T460" s="23"/>
      <c r="U460" s="23"/>
      <c r="V460" s="96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</row>
    <row r="461" spans="1:40" ht="15.7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96"/>
      <c r="N461" s="23"/>
      <c r="O461" s="23"/>
      <c r="P461" s="23"/>
      <c r="Q461" s="23"/>
      <c r="R461" s="23"/>
      <c r="S461" s="23"/>
      <c r="T461" s="23"/>
      <c r="U461" s="23"/>
      <c r="V461" s="96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</row>
    <row r="462" spans="1:40" ht="15.7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96"/>
      <c r="N462" s="23"/>
      <c r="O462" s="23"/>
      <c r="P462" s="23"/>
      <c r="Q462" s="23"/>
      <c r="R462" s="23"/>
      <c r="S462" s="23"/>
      <c r="T462" s="23"/>
      <c r="U462" s="23"/>
      <c r="V462" s="96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</row>
    <row r="463" spans="1:40" ht="15.7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96"/>
      <c r="N463" s="23"/>
      <c r="O463" s="23"/>
      <c r="P463" s="23"/>
      <c r="Q463" s="23"/>
      <c r="R463" s="23"/>
      <c r="S463" s="23"/>
      <c r="T463" s="23"/>
      <c r="U463" s="23"/>
      <c r="V463" s="96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</row>
    <row r="464" spans="1:40" ht="15.7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96"/>
      <c r="N464" s="23"/>
      <c r="O464" s="23"/>
      <c r="P464" s="23"/>
      <c r="Q464" s="23"/>
      <c r="R464" s="23"/>
      <c r="S464" s="23"/>
      <c r="T464" s="23"/>
      <c r="U464" s="23"/>
      <c r="V464" s="96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</row>
    <row r="465" spans="1:40" ht="15.7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96"/>
      <c r="N465" s="23"/>
      <c r="O465" s="23"/>
      <c r="P465" s="23"/>
      <c r="Q465" s="23"/>
      <c r="R465" s="23"/>
      <c r="S465" s="23"/>
      <c r="T465" s="23"/>
      <c r="U465" s="23"/>
      <c r="V465" s="96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</row>
    <row r="466" spans="1:40" ht="15.7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96"/>
      <c r="N466" s="23"/>
      <c r="O466" s="23"/>
      <c r="P466" s="23"/>
      <c r="Q466" s="23"/>
      <c r="R466" s="23"/>
      <c r="S466" s="23"/>
      <c r="T466" s="23"/>
      <c r="U466" s="23"/>
      <c r="V466" s="96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</row>
    <row r="467" spans="1:40" ht="15.7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96"/>
      <c r="N467" s="23"/>
      <c r="O467" s="23"/>
      <c r="P467" s="23"/>
      <c r="Q467" s="23"/>
      <c r="R467" s="23"/>
      <c r="S467" s="23"/>
      <c r="T467" s="23"/>
      <c r="U467" s="23"/>
      <c r="V467" s="96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</row>
    <row r="468" spans="1:40" ht="15.7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96"/>
      <c r="N468" s="23"/>
      <c r="O468" s="23"/>
      <c r="P468" s="23"/>
      <c r="Q468" s="23"/>
      <c r="R468" s="23"/>
      <c r="S468" s="23"/>
      <c r="T468" s="23"/>
      <c r="U468" s="23"/>
      <c r="V468" s="96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</row>
    <row r="469" spans="1:40" ht="15.7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96"/>
      <c r="N469" s="23"/>
      <c r="O469" s="23"/>
      <c r="P469" s="23"/>
      <c r="Q469" s="23"/>
      <c r="R469" s="23"/>
      <c r="S469" s="23"/>
      <c r="T469" s="23"/>
      <c r="U469" s="23"/>
      <c r="V469" s="96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</row>
    <row r="470" spans="1:40" ht="15.7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96"/>
      <c r="N470" s="23"/>
      <c r="O470" s="23"/>
      <c r="P470" s="23"/>
      <c r="Q470" s="23"/>
      <c r="R470" s="23"/>
      <c r="S470" s="23"/>
      <c r="T470" s="23"/>
      <c r="U470" s="23"/>
      <c r="V470" s="96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</row>
    <row r="471" spans="1:40" ht="15.7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96"/>
      <c r="N471" s="23"/>
      <c r="O471" s="23"/>
      <c r="P471" s="23"/>
      <c r="Q471" s="23"/>
      <c r="R471" s="23"/>
      <c r="S471" s="23"/>
      <c r="T471" s="23"/>
      <c r="U471" s="23"/>
      <c r="V471" s="96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</row>
    <row r="472" spans="1:40" ht="15.7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96"/>
      <c r="N472" s="23"/>
      <c r="O472" s="23"/>
      <c r="P472" s="23"/>
      <c r="Q472" s="23"/>
      <c r="R472" s="23"/>
      <c r="S472" s="23"/>
      <c r="T472" s="23"/>
      <c r="U472" s="23"/>
      <c r="V472" s="96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</row>
    <row r="473" spans="1:40" ht="15.7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96"/>
      <c r="N473" s="23"/>
      <c r="O473" s="23"/>
      <c r="P473" s="23"/>
      <c r="Q473" s="23"/>
      <c r="R473" s="23"/>
      <c r="S473" s="23"/>
      <c r="T473" s="23"/>
      <c r="U473" s="23"/>
      <c r="V473" s="96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</row>
    <row r="474" spans="1:40" ht="15.7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96"/>
      <c r="N474" s="23"/>
      <c r="O474" s="23"/>
      <c r="P474" s="23"/>
      <c r="Q474" s="23"/>
      <c r="R474" s="23"/>
      <c r="S474" s="23"/>
      <c r="T474" s="23"/>
      <c r="U474" s="23"/>
      <c r="V474" s="96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</row>
    <row r="475" spans="1:40" ht="15.7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96"/>
      <c r="N475" s="23"/>
      <c r="O475" s="23"/>
      <c r="P475" s="23"/>
      <c r="Q475" s="23"/>
      <c r="R475" s="23"/>
      <c r="S475" s="23"/>
      <c r="T475" s="23"/>
      <c r="U475" s="23"/>
      <c r="V475" s="96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</row>
    <row r="476" spans="1:40" ht="15.7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96"/>
      <c r="N476" s="23"/>
      <c r="O476" s="23"/>
      <c r="P476" s="23"/>
      <c r="Q476" s="23"/>
      <c r="R476" s="23"/>
      <c r="S476" s="23"/>
      <c r="T476" s="23"/>
      <c r="U476" s="23"/>
      <c r="V476" s="96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</row>
    <row r="477" spans="1:40" ht="15.7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96"/>
      <c r="N477" s="23"/>
      <c r="O477" s="23"/>
      <c r="P477" s="23"/>
      <c r="Q477" s="23"/>
      <c r="R477" s="23"/>
      <c r="S477" s="23"/>
      <c r="T477" s="23"/>
      <c r="U477" s="23"/>
      <c r="V477" s="96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</row>
    <row r="478" spans="1:40" ht="15.7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96"/>
      <c r="N478" s="23"/>
      <c r="O478" s="23"/>
      <c r="P478" s="23"/>
      <c r="Q478" s="23"/>
      <c r="R478" s="23"/>
      <c r="S478" s="23"/>
      <c r="T478" s="23"/>
      <c r="U478" s="23"/>
      <c r="V478" s="96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</row>
    <row r="479" spans="1:40" ht="15.7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96"/>
      <c r="N479" s="23"/>
      <c r="O479" s="23"/>
      <c r="P479" s="23"/>
      <c r="Q479" s="23"/>
      <c r="R479" s="23"/>
      <c r="S479" s="23"/>
      <c r="T479" s="23"/>
      <c r="U479" s="23"/>
      <c r="V479" s="96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</row>
    <row r="480" spans="1:40" ht="15.7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96"/>
      <c r="N480" s="23"/>
      <c r="O480" s="23"/>
      <c r="P480" s="23"/>
      <c r="Q480" s="23"/>
      <c r="R480" s="23"/>
      <c r="S480" s="23"/>
      <c r="T480" s="23"/>
      <c r="U480" s="23"/>
      <c r="V480" s="96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</row>
    <row r="481" spans="1:40" ht="15.7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96"/>
      <c r="N481" s="23"/>
      <c r="O481" s="23"/>
      <c r="P481" s="23"/>
      <c r="Q481" s="23"/>
      <c r="R481" s="23"/>
      <c r="S481" s="23"/>
      <c r="T481" s="23"/>
      <c r="U481" s="23"/>
      <c r="V481" s="96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</row>
    <row r="482" spans="1:40" ht="15.7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96"/>
      <c r="N482" s="23"/>
      <c r="O482" s="23"/>
      <c r="P482" s="23"/>
      <c r="Q482" s="23"/>
      <c r="R482" s="23"/>
      <c r="S482" s="23"/>
      <c r="T482" s="23"/>
      <c r="U482" s="23"/>
      <c r="V482" s="96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</row>
    <row r="483" spans="1:40" ht="15.7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96"/>
      <c r="N483" s="23"/>
      <c r="O483" s="23"/>
      <c r="P483" s="23"/>
      <c r="Q483" s="23"/>
      <c r="R483" s="23"/>
      <c r="S483" s="23"/>
      <c r="T483" s="23"/>
      <c r="U483" s="23"/>
      <c r="V483" s="96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</row>
    <row r="484" spans="1:40" ht="15.7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96"/>
      <c r="N484" s="23"/>
      <c r="O484" s="23"/>
      <c r="P484" s="23"/>
      <c r="Q484" s="23"/>
      <c r="R484" s="23"/>
      <c r="S484" s="23"/>
      <c r="T484" s="23"/>
      <c r="U484" s="23"/>
      <c r="V484" s="96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</row>
    <row r="485" spans="1:40" ht="15.7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96"/>
      <c r="N485" s="23"/>
      <c r="O485" s="23"/>
      <c r="P485" s="23"/>
      <c r="Q485" s="23"/>
      <c r="R485" s="23"/>
      <c r="S485" s="23"/>
      <c r="T485" s="23"/>
      <c r="U485" s="23"/>
      <c r="V485" s="96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</row>
    <row r="486" spans="1:40" ht="15.7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96"/>
      <c r="N486" s="23"/>
      <c r="O486" s="23"/>
      <c r="P486" s="23"/>
      <c r="Q486" s="23"/>
      <c r="R486" s="23"/>
      <c r="S486" s="23"/>
      <c r="T486" s="23"/>
      <c r="U486" s="23"/>
      <c r="V486" s="96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</row>
    <row r="487" spans="1:40" ht="15.7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96"/>
      <c r="N487" s="23"/>
      <c r="O487" s="23"/>
      <c r="P487" s="23"/>
      <c r="Q487" s="23"/>
      <c r="R487" s="23"/>
      <c r="S487" s="23"/>
      <c r="T487" s="23"/>
      <c r="U487" s="23"/>
      <c r="V487" s="96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</row>
    <row r="488" spans="1:40" ht="15.7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96"/>
      <c r="N488" s="23"/>
      <c r="O488" s="23"/>
      <c r="P488" s="23"/>
      <c r="Q488" s="23"/>
      <c r="R488" s="23"/>
      <c r="S488" s="23"/>
      <c r="T488" s="23"/>
      <c r="U488" s="23"/>
      <c r="V488" s="96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</row>
    <row r="489" spans="1:40" ht="15.7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96"/>
      <c r="N489" s="23"/>
      <c r="O489" s="23"/>
      <c r="P489" s="23"/>
      <c r="Q489" s="23"/>
      <c r="R489" s="23"/>
      <c r="S489" s="23"/>
      <c r="T489" s="23"/>
      <c r="U489" s="23"/>
      <c r="V489" s="96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</row>
    <row r="490" spans="1:40" ht="15.7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96"/>
      <c r="N490" s="23"/>
      <c r="O490" s="23"/>
      <c r="P490" s="23"/>
      <c r="Q490" s="23"/>
      <c r="R490" s="23"/>
      <c r="S490" s="23"/>
      <c r="T490" s="23"/>
      <c r="U490" s="23"/>
      <c r="V490" s="96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</row>
    <row r="491" spans="1:40" ht="15.7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96"/>
      <c r="N491" s="23"/>
      <c r="O491" s="23"/>
      <c r="P491" s="23"/>
      <c r="Q491" s="23"/>
      <c r="R491" s="23"/>
      <c r="S491" s="23"/>
      <c r="T491" s="23"/>
      <c r="U491" s="23"/>
      <c r="V491" s="96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</row>
    <row r="492" spans="1:40" ht="15.7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96"/>
      <c r="N492" s="23"/>
      <c r="O492" s="23"/>
      <c r="P492" s="23"/>
      <c r="Q492" s="23"/>
      <c r="R492" s="23"/>
      <c r="S492" s="23"/>
      <c r="T492" s="23"/>
      <c r="U492" s="23"/>
      <c r="V492" s="96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</row>
    <row r="493" spans="1:40" ht="15.7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96"/>
      <c r="N493" s="23"/>
      <c r="O493" s="23"/>
      <c r="P493" s="23"/>
      <c r="Q493" s="23"/>
      <c r="R493" s="23"/>
      <c r="S493" s="23"/>
      <c r="T493" s="23"/>
      <c r="U493" s="23"/>
      <c r="V493" s="96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</row>
    <row r="494" spans="1:40" ht="15.7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96"/>
      <c r="N494" s="23"/>
      <c r="O494" s="23"/>
      <c r="P494" s="23"/>
      <c r="Q494" s="23"/>
      <c r="R494" s="23"/>
      <c r="S494" s="23"/>
      <c r="T494" s="23"/>
      <c r="U494" s="23"/>
      <c r="V494" s="96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</row>
    <row r="495" spans="1:40" ht="15.7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96"/>
      <c r="N495" s="23"/>
      <c r="O495" s="23"/>
      <c r="P495" s="23"/>
      <c r="Q495" s="23"/>
      <c r="R495" s="23"/>
      <c r="S495" s="23"/>
      <c r="T495" s="23"/>
      <c r="U495" s="23"/>
      <c r="V495" s="96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</row>
    <row r="496" spans="1:40" ht="15.7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96"/>
      <c r="N496" s="23"/>
      <c r="O496" s="23"/>
      <c r="P496" s="23"/>
      <c r="Q496" s="23"/>
      <c r="R496" s="23"/>
      <c r="S496" s="23"/>
      <c r="T496" s="23"/>
      <c r="U496" s="23"/>
      <c r="V496" s="96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</row>
    <row r="497" spans="1:40" ht="15.7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96"/>
      <c r="N497" s="23"/>
      <c r="O497" s="23"/>
      <c r="P497" s="23"/>
      <c r="Q497" s="23"/>
      <c r="R497" s="23"/>
      <c r="S497" s="23"/>
      <c r="T497" s="23"/>
      <c r="U497" s="23"/>
      <c r="V497" s="96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</row>
    <row r="498" spans="1:40" ht="15.7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96"/>
      <c r="N498" s="23"/>
      <c r="O498" s="23"/>
      <c r="P498" s="23"/>
      <c r="Q498" s="23"/>
      <c r="R498" s="23"/>
      <c r="S498" s="23"/>
      <c r="T498" s="23"/>
      <c r="U498" s="23"/>
      <c r="V498" s="96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</row>
    <row r="499" spans="1:40" ht="15.7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96"/>
      <c r="N499" s="23"/>
      <c r="O499" s="23"/>
      <c r="P499" s="23"/>
      <c r="Q499" s="23"/>
      <c r="R499" s="23"/>
      <c r="S499" s="23"/>
      <c r="T499" s="23"/>
      <c r="U499" s="23"/>
      <c r="V499" s="96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</row>
    <row r="500" spans="1:40" ht="15.7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96"/>
      <c r="N500" s="23"/>
      <c r="O500" s="23"/>
      <c r="P500" s="23"/>
      <c r="Q500" s="23"/>
      <c r="R500" s="23"/>
      <c r="S500" s="23"/>
      <c r="T500" s="23"/>
      <c r="U500" s="23"/>
      <c r="V500" s="96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</row>
    <row r="501" spans="1:40" ht="15.7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96"/>
      <c r="N501" s="23"/>
      <c r="O501" s="23"/>
      <c r="P501" s="23"/>
      <c r="Q501" s="23"/>
      <c r="R501" s="23"/>
      <c r="S501" s="23"/>
      <c r="T501" s="23"/>
      <c r="U501" s="23"/>
      <c r="V501" s="96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</row>
    <row r="502" spans="1:40" ht="15.7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96"/>
      <c r="N502" s="23"/>
      <c r="O502" s="23"/>
      <c r="P502" s="23"/>
      <c r="Q502" s="23"/>
      <c r="R502" s="23"/>
      <c r="S502" s="23"/>
      <c r="T502" s="23"/>
      <c r="U502" s="23"/>
      <c r="V502" s="96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</row>
    <row r="503" spans="1:40" ht="15.7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96"/>
      <c r="N503" s="23"/>
      <c r="O503" s="23"/>
      <c r="P503" s="23"/>
      <c r="Q503" s="23"/>
      <c r="R503" s="23"/>
      <c r="S503" s="23"/>
      <c r="T503" s="23"/>
      <c r="U503" s="23"/>
      <c r="V503" s="96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</row>
    <row r="504" spans="1:40" ht="15.7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96"/>
      <c r="N504" s="23"/>
      <c r="O504" s="23"/>
      <c r="P504" s="23"/>
      <c r="Q504" s="23"/>
      <c r="R504" s="23"/>
      <c r="S504" s="23"/>
      <c r="T504" s="23"/>
      <c r="U504" s="23"/>
      <c r="V504" s="96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</row>
    <row r="505" spans="1:40" ht="15.7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96"/>
      <c r="N505" s="23"/>
      <c r="O505" s="23"/>
      <c r="P505" s="23"/>
      <c r="Q505" s="23"/>
      <c r="R505" s="23"/>
      <c r="S505" s="23"/>
      <c r="T505" s="23"/>
      <c r="U505" s="23"/>
      <c r="V505" s="96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</row>
    <row r="506" spans="1:40" ht="15.7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96"/>
      <c r="N506" s="23"/>
      <c r="O506" s="23"/>
      <c r="P506" s="23"/>
      <c r="Q506" s="23"/>
      <c r="R506" s="23"/>
      <c r="S506" s="23"/>
      <c r="T506" s="23"/>
      <c r="U506" s="23"/>
      <c r="V506" s="96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</row>
    <row r="507" spans="1:40" ht="15.7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96"/>
      <c r="N507" s="23"/>
      <c r="O507" s="23"/>
      <c r="P507" s="23"/>
      <c r="Q507" s="23"/>
      <c r="R507" s="23"/>
      <c r="S507" s="23"/>
      <c r="T507" s="23"/>
      <c r="U507" s="23"/>
      <c r="V507" s="96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</row>
    <row r="508" spans="1:40" ht="15.7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96"/>
      <c r="N508" s="23"/>
      <c r="O508" s="23"/>
      <c r="P508" s="23"/>
      <c r="Q508" s="23"/>
      <c r="R508" s="23"/>
      <c r="S508" s="23"/>
      <c r="T508" s="23"/>
      <c r="U508" s="23"/>
      <c r="V508" s="96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</row>
    <row r="509" spans="1:40" ht="15.7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96"/>
      <c r="N509" s="23"/>
      <c r="O509" s="23"/>
      <c r="P509" s="23"/>
      <c r="Q509" s="23"/>
      <c r="R509" s="23"/>
      <c r="S509" s="23"/>
      <c r="T509" s="23"/>
      <c r="U509" s="23"/>
      <c r="V509" s="96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</row>
    <row r="510" spans="1:40" ht="15.7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96"/>
      <c r="N510" s="23"/>
      <c r="O510" s="23"/>
      <c r="P510" s="23"/>
      <c r="Q510" s="23"/>
      <c r="R510" s="23"/>
      <c r="S510" s="23"/>
      <c r="T510" s="23"/>
      <c r="U510" s="23"/>
      <c r="V510" s="96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</row>
    <row r="511" spans="1:40" ht="15.7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96"/>
      <c r="N511" s="23"/>
      <c r="O511" s="23"/>
      <c r="P511" s="23"/>
      <c r="Q511" s="23"/>
      <c r="R511" s="23"/>
      <c r="S511" s="23"/>
      <c r="T511" s="23"/>
      <c r="U511" s="23"/>
      <c r="V511" s="96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</row>
    <row r="512" spans="1:40" ht="15.7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96"/>
      <c r="N512" s="23"/>
      <c r="O512" s="23"/>
      <c r="P512" s="23"/>
      <c r="Q512" s="23"/>
      <c r="R512" s="23"/>
      <c r="S512" s="23"/>
      <c r="T512" s="23"/>
      <c r="U512" s="23"/>
      <c r="V512" s="96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</row>
    <row r="513" spans="1:40" ht="15.7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96"/>
      <c r="N513" s="23"/>
      <c r="O513" s="23"/>
      <c r="P513" s="23"/>
      <c r="Q513" s="23"/>
      <c r="R513" s="23"/>
      <c r="S513" s="23"/>
      <c r="T513" s="23"/>
      <c r="U513" s="23"/>
      <c r="V513" s="96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</row>
    <row r="514" spans="1:40" ht="15.7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96"/>
      <c r="N514" s="23"/>
      <c r="O514" s="23"/>
      <c r="P514" s="23"/>
      <c r="Q514" s="23"/>
      <c r="R514" s="23"/>
      <c r="S514" s="23"/>
      <c r="T514" s="23"/>
      <c r="U514" s="23"/>
      <c r="V514" s="96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</row>
    <row r="515" spans="1:40" ht="15.7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96"/>
      <c r="N515" s="23"/>
      <c r="O515" s="23"/>
      <c r="P515" s="23"/>
      <c r="Q515" s="23"/>
      <c r="R515" s="23"/>
      <c r="S515" s="23"/>
      <c r="T515" s="23"/>
      <c r="U515" s="23"/>
      <c r="V515" s="96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</row>
    <row r="516" spans="1:40" ht="15.7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96"/>
      <c r="N516" s="23"/>
      <c r="O516" s="23"/>
      <c r="P516" s="23"/>
      <c r="Q516" s="23"/>
      <c r="R516" s="23"/>
      <c r="S516" s="23"/>
      <c r="T516" s="23"/>
      <c r="U516" s="23"/>
      <c r="V516" s="96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</row>
    <row r="517" spans="1:40" ht="15.7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96"/>
      <c r="N517" s="23"/>
      <c r="O517" s="23"/>
      <c r="P517" s="23"/>
      <c r="Q517" s="23"/>
      <c r="R517" s="23"/>
      <c r="S517" s="23"/>
      <c r="T517" s="23"/>
      <c r="U517" s="23"/>
      <c r="V517" s="96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</row>
    <row r="518" spans="1:40" ht="15.7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96"/>
      <c r="N518" s="23"/>
      <c r="O518" s="23"/>
      <c r="P518" s="23"/>
      <c r="Q518" s="23"/>
      <c r="R518" s="23"/>
      <c r="S518" s="23"/>
      <c r="T518" s="23"/>
      <c r="U518" s="23"/>
      <c r="V518" s="96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</row>
    <row r="519" spans="1:40" ht="15.7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96"/>
      <c r="N519" s="23"/>
      <c r="O519" s="23"/>
      <c r="P519" s="23"/>
      <c r="Q519" s="23"/>
      <c r="R519" s="23"/>
      <c r="S519" s="23"/>
      <c r="T519" s="23"/>
      <c r="U519" s="23"/>
      <c r="V519" s="96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</row>
    <row r="520" spans="1:40" ht="15.7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96"/>
      <c r="N520" s="23"/>
      <c r="O520" s="23"/>
      <c r="P520" s="23"/>
      <c r="Q520" s="23"/>
      <c r="R520" s="23"/>
      <c r="S520" s="23"/>
      <c r="T520" s="23"/>
      <c r="U520" s="23"/>
      <c r="V520" s="96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</row>
    <row r="521" spans="1:40" ht="15.7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96"/>
      <c r="N521" s="23"/>
      <c r="O521" s="23"/>
      <c r="P521" s="23"/>
      <c r="Q521" s="23"/>
      <c r="R521" s="23"/>
      <c r="S521" s="23"/>
      <c r="T521" s="23"/>
      <c r="U521" s="23"/>
      <c r="V521" s="96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</row>
    <row r="522" spans="1:40" ht="15.7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96"/>
      <c r="N522" s="23"/>
      <c r="O522" s="23"/>
      <c r="P522" s="23"/>
      <c r="Q522" s="23"/>
      <c r="R522" s="23"/>
      <c r="S522" s="23"/>
      <c r="T522" s="23"/>
      <c r="U522" s="23"/>
      <c r="V522" s="96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</row>
    <row r="523" spans="1:40" ht="15.7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96"/>
      <c r="N523" s="23"/>
      <c r="O523" s="23"/>
      <c r="P523" s="23"/>
      <c r="Q523" s="23"/>
      <c r="R523" s="23"/>
      <c r="S523" s="23"/>
      <c r="T523" s="23"/>
      <c r="U523" s="23"/>
      <c r="V523" s="96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</row>
    <row r="524" spans="1:40" ht="15.7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96"/>
      <c r="N524" s="23"/>
      <c r="O524" s="23"/>
      <c r="P524" s="23"/>
      <c r="Q524" s="23"/>
      <c r="R524" s="23"/>
      <c r="S524" s="23"/>
      <c r="T524" s="23"/>
      <c r="U524" s="23"/>
      <c r="V524" s="96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</row>
    <row r="525" spans="1:40" ht="15.7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96"/>
      <c r="N525" s="23"/>
      <c r="O525" s="23"/>
      <c r="P525" s="23"/>
      <c r="Q525" s="23"/>
      <c r="R525" s="23"/>
      <c r="S525" s="23"/>
      <c r="T525" s="23"/>
      <c r="U525" s="23"/>
      <c r="V525" s="96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</row>
    <row r="526" spans="1:40" ht="15.7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96"/>
      <c r="N526" s="23"/>
      <c r="O526" s="23"/>
      <c r="P526" s="23"/>
      <c r="Q526" s="23"/>
      <c r="R526" s="23"/>
      <c r="S526" s="23"/>
      <c r="T526" s="23"/>
      <c r="U526" s="23"/>
      <c r="V526" s="96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</row>
    <row r="527" spans="1:40" ht="15.7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96"/>
      <c r="N527" s="23"/>
      <c r="O527" s="23"/>
      <c r="P527" s="23"/>
      <c r="Q527" s="23"/>
      <c r="R527" s="23"/>
      <c r="S527" s="23"/>
      <c r="T527" s="23"/>
      <c r="U527" s="23"/>
      <c r="V527" s="96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</row>
    <row r="528" spans="1:40" ht="15.7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96"/>
      <c r="N528" s="23"/>
      <c r="O528" s="23"/>
      <c r="P528" s="23"/>
      <c r="Q528" s="23"/>
      <c r="R528" s="23"/>
      <c r="S528" s="23"/>
      <c r="T528" s="23"/>
      <c r="U528" s="23"/>
      <c r="V528" s="96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</row>
    <row r="529" spans="1:40" ht="15.7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96"/>
      <c r="N529" s="23"/>
      <c r="O529" s="23"/>
      <c r="P529" s="23"/>
      <c r="Q529" s="23"/>
      <c r="R529" s="23"/>
      <c r="S529" s="23"/>
      <c r="T529" s="23"/>
      <c r="U529" s="23"/>
      <c r="V529" s="96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</row>
    <row r="530" spans="1:40" ht="15.7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96"/>
      <c r="N530" s="23"/>
      <c r="O530" s="23"/>
      <c r="P530" s="23"/>
      <c r="Q530" s="23"/>
      <c r="R530" s="23"/>
      <c r="S530" s="23"/>
      <c r="T530" s="23"/>
      <c r="U530" s="23"/>
      <c r="V530" s="96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</row>
    <row r="531" spans="1:40" ht="15.7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96"/>
      <c r="N531" s="23"/>
      <c r="O531" s="23"/>
      <c r="P531" s="23"/>
      <c r="Q531" s="23"/>
      <c r="R531" s="23"/>
      <c r="S531" s="23"/>
      <c r="T531" s="23"/>
      <c r="U531" s="23"/>
      <c r="V531" s="96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</row>
    <row r="532" spans="1:40" ht="15.7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96"/>
      <c r="N532" s="23"/>
      <c r="O532" s="23"/>
      <c r="P532" s="23"/>
      <c r="Q532" s="23"/>
      <c r="R532" s="23"/>
      <c r="S532" s="23"/>
      <c r="T532" s="23"/>
      <c r="U532" s="23"/>
      <c r="V532" s="96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</row>
    <row r="533" spans="1:40" ht="15.7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96"/>
      <c r="N533" s="23"/>
      <c r="O533" s="23"/>
      <c r="P533" s="23"/>
      <c r="Q533" s="23"/>
      <c r="R533" s="23"/>
      <c r="S533" s="23"/>
      <c r="T533" s="23"/>
      <c r="U533" s="23"/>
      <c r="V533" s="96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</row>
    <row r="534" spans="1:40" ht="15.7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96"/>
      <c r="N534" s="23"/>
      <c r="O534" s="23"/>
      <c r="P534" s="23"/>
      <c r="Q534" s="23"/>
      <c r="R534" s="23"/>
      <c r="S534" s="23"/>
      <c r="T534" s="23"/>
      <c r="U534" s="23"/>
      <c r="V534" s="96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</row>
    <row r="535" spans="1:40" ht="15.7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96"/>
      <c r="N535" s="23"/>
      <c r="O535" s="23"/>
      <c r="P535" s="23"/>
      <c r="Q535" s="23"/>
      <c r="R535" s="23"/>
      <c r="S535" s="23"/>
      <c r="T535" s="23"/>
      <c r="U535" s="23"/>
      <c r="V535" s="96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</row>
    <row r="536" spans="1:40" ht="15.7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96"/>
      <c r="N536" s="23"/>
      <c r="O536" s="23"/>
      <c r="P536" s="23"/>
      <c r="Q536" s="23"/>
      <c r="R536" s="23"/>
      <c r="S536" s="23"/>
      <c r="T536" s="23"/>
      <c r="U536" s="23"/>
      <c r="V536" s="96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</row>
    <row r="537" spans="1:40" ht="15.7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96"/>
      <c r="N537" s="23"/>
      <c r="O537" s="23"/>
      <c r="P537" s="23"/>
      <c r="Q537" s="23"/>
      <c r="R537" s="23"/>
      <c r="S537" s="23"/>
      <c r="T537" s="23"/>
      <c r="U537" s="23"/>
      <c r="V537" s="96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</row>
    <row r="538" spans="1:40" ht="15.7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96"/>
      <c r="N538" s="23"/>
      <c r="O538" s="23"/>
      <c r="P538" s="23"/>
      <c r="Q538" s="23"/>
      <c r="R538" s="23"/>
      <c r="S538" s="23"/>
      <c r="T538" s="23"/>
      <c r="U538" s="23"/>
      <c r="V538" s="96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</row>
    <row r="539" spans="1:40" ht="15.7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96"/>
      <c r="N539" s="23"/>
      <c r="O539" s="23"/>
      <c r="P539" s="23"/>
      <c r="Q539" s="23"/>
      <c r="R539" s="23"/>
      <c r="S539" s="23"/>
      <c r="T539" s="23"/>
      <c r="U539" s="23"/>
      <c r="V539" s="96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</row>
    <row r="540" spans="1:40" ht="15.7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96"/>
      <c r="N540" s="23"/>
      <c r="O540" s="23"/>
      <c r="P540" s="23"/>
      <c r="Q540" s="23"/>
      <c r="R540" s="23"/>
      <c r="S540" s="23"/>
      <c r="T540" s="23"/>
      <c r="U540" s="23"/>
      <c r="V540" s="96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</row>
    <row r="541" spans="1:40" ht="15.7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96"/>
      <c r="N541" s="23"/>
      <c r="O541" s="23"/>
      <c r="P541" s="23"/>
      <c r="Q541" s="23"/>
      <c r="R541" s="23"/>
      <c r="S541" s="23"/>
      <c r="T541" s="23"/>
      <c r="U541" s="23"/>
      <c r="V541" s="96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</row>
    <row r="542" spans="1:40" ht="15.7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96"/>
      <c r="N542" s="23"/>
      <c r="O542" s="23"/>
      <c r="P542" s="23"/>
      <c r="Q542" s="23"/>
      <c r="R542" s="23"/>
      <c r="S542" s="23"/>
      <c r="T542" s="23"/>
      <c r="U542" s="23"/>
      <c r="V542" s="96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</row>
    <row r="543" spans="1:40" ht="15.7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96"/>
      <c r="N543" s="23"/>
      <c r="O543" s="23"/>
      <c r="P543" s="23"/>
      <c r="Q543" s="23"/>
      <c r="R543" s="23"/>
      <c r="S543" s="23"/>
      <c r="T543" s="23"/>
      <c r="U543" s="23"/>
      <c r="V543" s="96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</row>
    <row r="544" spans="1:40" ht="15.7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96"/>
      <c r="N544" s="23"/>
      <c r="O544" s="23"/>
      <c r="P544" s="23"/>
      <c r="Q544" s="23"/>
      <c r="R544" s="23"/>
      <c r="S544" s="23"/>
      <c r="T544" s="23"/>
      <c r="U544" s="23"/>
      <c r="V544" s="96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</row>
    <row r="545" spans="1:40" ht="15.7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96"/>
      <c r="N545" s="23"/>
      <c r="O545" s="23"/>
      <c r="P545" s="23"/>
      <c r="Q545" s="23"/>
      <c r="R545" s="23"/>
      <c r="S545" s="23"/>
      <c r="T545" s="23"/>
      <c r="U545" s="23"/>
      <c r="V545" s="96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</row>
    <row r="546" spans="1:40" ht="15.7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96"/>
      <c r="N546" s="23"/>
      <c r="O546" s="23"/>
      <c r="P546" s="23"/>
      <c r="Q546" s="23"/>
      <c r="R546" s="23"/>
      <c r="S546" s="23"/>
      <c r="T546" s="23"/>
      <c r="U546" s="23"/>
      <c r="V546" s="96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</row>
    <row r="547" spans="1:40" ht="15.7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96"/>
      <c r="N547" s="23"/>
      <c r="O547" s="23"/>
      <c r="P547" s="23"/>
      <c r="Q547" s="23"/>
      <c r="R547" s="23"/>
      <c r="S547" s="23"/>
      <c r="T547" s="23"/>
      <c r="U547" s="23"/>
      <c r="V547" s="96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</row>
    <row r="548" spans="1:40" ht="15.7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96"/>
      <c r="N548" s="23"/>
      <c r="O548" s="23"/>
      <c r="P548" s="23"/>
      <c r="Q548" s="23"/>
      <c r="R548" s="23"/>
      <c r="S548" s="23"/>
      <c r="T548" s="23"/>
      <c r="U548" s="23"/>
      <c r="V548" s="96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</row>
    <row r="549" spans="1:40" ht="15.7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96"/>
      <c r="N549" s="23"/>
      <c r="O549" s="23"/>
      <c r="P549" s="23"/>
      <c r="Q549" s="23"/>
      <c r="R549" s="23"/>
      <c r="S549" s="23"/>
      <c r="T549" s="23"/>
      <c r="U549" s="23"/>
      <c r="V549" s="96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</row>
    <row r="550" spans="1:40" ht="15.7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96"/>
      <c r="N550" s="23"/>
      <c r="O550" s="23"/>
      <c r="P550" s="23"/>
      <c r="Q550" s="23"/>
      <c r="R550" s="23"/>
      <c r="S550" s="23"/>
      <c r="T550" s="23"/>
      <c r="U550" s="23"/>
      <c r="V550" s="96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</row>
    <row r="551" spans="1:40" ht="15.7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96"/>
      <c r="N551" s="23"/>
      <c r="O551" s="23"/>
      <c r="P551" s="23"/>
      <c r="Q551" s="23"/>
      <c r="R551" s="23"/>
      <c r="S551" s="23"/>
      <c r="T551" s="23"/>
      <c r="U551" s="23"/>
      <c r="V551" s="96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</row>
    <row r="552" spans="1:40" ht="15.7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96"/>
      <c r="N552" s="23"/>
      <c r="O552" s="23"/>
      <c r="P552" s="23"/>
      <c r="Q552" s="23"/>
      <c r="R552" s="23"/>
      <c r="S552" s="23"/>
      <c r="T552" s="23"/>
      <c r="U552" s="23"/>
      <c r="V552" s="96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</row>
    <row r="553" spans="1:40" ht="15.7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96"/>
      <c r="N553" s="23"/>
      <c r="O553" s="23"/>
      <c r="P553" s="23"/>
      <c r="Q553" s="23"/>
      <c r="R553" s="23"/>
      <c r="S553" s="23"/>
      <c r="T553" s="23"/>
      <c r="U553" s="23"/>
      <c r="V553" s="96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</row>
    <row r="554" spans="1:40" ht="15.7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96"/>
      <c r="N554" s="23"/>
      <c r="O554" s="23"/>
      <c r="P554" s="23"/>
      <c r="Q554" s="23"/>
      <c r="R554" s="23"/>
      <c r="S554" s="23"/>
      <c r="T554" s="23"/>
      <c r="U554" s="23"/>
      <c r="V554" s="96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</row>
    <row r="555" spans="1:40" ht="15.7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96"/>
      <c r="N555" s="23"/>
      <c r="O555" s="23"/>
      <c r="P555" s="23"/>
      <c r="Q555" s="23"/>
      <c r="R555" s="23"/>
      <c r="S555" s="23"/>
      <c r="T555" s="23"/>
      <c r="U555" s="23"/>
      <c r="V555" s="96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</row>
    <row r="556" spans="1:40" ht="15.7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96"/>
      <c r="N556" s="23"/>
      <c r="O556" s="23"/>
      <c r="P556" s="23"/>
      <c r="Q556" s="23"/>
      <c r="R556" s="23"/>
      <c r="S556" s="23"/>
      <c r="T556" s="23"/>
      <c r="U556" s="23"/>
      <c r="V556" s="96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</row>
    <row r="557" spans="1:40" ht="15.7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96"/>
      <c r="N557" s="23"/>
      <c r="O557" s="23"/>
      <c r="P557" s="23"/>
      <c r="Q557" s="23"/>
      <c r="R557" s="23"/>
      <c r="S557" s="23"/>
      <c r="T557" s="23"/>
      <c r="U557" s="23"/>
      <c r="V557" s="96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</row>
    <row r="558" spans="1:40" ht="15.7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96"/>
      <c r="N558" s="23"/>
      <c r="O558" s="23"/>
      <c r="P558" s="23"/>
      <c r="Q558" s="23"/>
      <c r="R558" s="23"/>
      <c r="S558" s="23"/>
      <c r="T558" s="23"/>
      <c r="U558" s="23"/>
      <c r="V558" s="96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</row>
    <row r="559" spans="1:40" ht="15.7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96"/>
      <c r="N559" s="23"/>
      <c r="O559" s="23"/>
      <c r="P559" s="23"/>
      <c r="Q559" s="23"/>
      <c r="R559" s="23"/>
      <c r="S559" s="23"/>
      <c r="T559" s="23"/>
      <c r="U559" s="23"/>
      <c r="V559" s="96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</row>
    <row r="560" spans="1:40" ht="15.7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96"/>
      <c r="N560" s="23"/>
      <c r="O560" s="23"/>
      <c r="P560" s="23"/>
      <c r="Q560" s="23"/>
      <c r="R560" s="23"/>
      <c r="S560" s="23"/>
      <c r="T560" s="23"/>
      <c r="U560" s="23"/>
      <c r="V560" s="96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</row>
    <row r="561" spans="1:40" ht="15.7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96"/>
      <c r="N561" s="23"/>
      <c r="O561" s="23"/>
      <c r="P561" s="23"/>
      <c r="Q561" s="23"/>
      <c r="R561" s="23"/>
      <c r="S561" s="23"/>
      <c r="T561" s="23"/>
      <c r="U561" s="23"/>
      <c r="V561" s="96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</row>
    <row r="562" spans="1:40" ht="15.7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96"/>
      <c r="N562" s="23"/>
      <c r="O562" s="23"/>
      <c r="P562" s="23"/>
      <c r="Q562" s="23"/>
      <c r="R562" s="23"/>
      <c r="S562" s="23"/>
      <c r="T562" s="23"/>
      <c r="U562" s="23"/>
      <c r="V562" s="96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</row>
    <row r="563" spans="1:40" ht="15.7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96"/>
      <c r="N563" s="23"/>
      <c r="O563" s="23"/>
      <c r="P563" s="23"/>
      <c r="Q563" s="23"/>
      <c r="R563" s="23"/>
      <c r="S563" s="23"/>
      <c r="T563" s="23"/>
      <c r="U563" s="23"/>
      <c r="V563" s="96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</row>
    <row r="564" spans="1:40" ht="15.7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96"/>
      <c r="N564" s="23"/>
      <c r="O564" s="23"/>
      <c r="P564" s="23"/>
      <c r="Q564" s="23"/>
      <c r="R564" s="23"/>
      <c r="S564" s="23"/>
      <c r="T564" s="23"/>
      <c r="U564" s="23"/>
      <c r="V564" s="96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</row>
    <row r="565" spans="1:40" ht="15.7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96"/>
      <c r="N565" s="23"/>
      <c r="O565" s="23"/>
      <c r="P565" s="23"/>
      <c r="Q565" s="23"/>
      <c r="R565" s="23"/>
      <c r="S565" s="23"/>
      <c r="T565" s="23"/>
      <c r="U565" s="23"/>
      <c r="V565" s="96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</row>
    <row r="566" spans="1:40" ht="15.7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96"/>
      <c r="N566" s="23"/>
      <c r="O566" s="23"/>
      <c r="P566" s="23"/>
      <c r="Q566" s="23"/>
      <c r="R566" s="23"/>
      <c r="S566" s="23"/>
      <c r="T566" s="23"/>
      <c r="U566" s="23"/>
      <c r="V566" s="96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</row>
    <row r="567" spans="1:40" ht="15.7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96"/>
      <c r="N567" s="23"/>
      <c r="O567" s="23"/>
      <c r="P567" s="23"/>
      <c r="Q567" s="23"/>
      <c r="R567" s="23"/>
      <c r="S567" s="23"/>
      <c r="T567" s="23"/>
      <c r="U567" s="23"/>
      <c r="V567" s="96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</row>
    <row r="568" spans="1:40" ht="15.7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96"/>
      <c r="N568" s="23"/>
      <c r="O568" s="23"/>
      <c r="P568" s="23"/>
      <c r="Q568" s="23"/>
      <c r="R568" s="23"/>
      <c r="S568" s="23"/>
      <c r="T568" s="23"/>
      <c r="U568" s="23"/>
      <c r="V568" s="96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</row>
    <row r="569" spans="1:40" ht="15.7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96"/>
      <c r="N569" s="23"/>
      <c r="O569" s="23"/>
      <c r="P569" s="23"/>
      <c r="Q569" s="23"/>
      <c r="R569" s="23"/>
      <c r="S569" s="23"/>
      <c r="T569" s="23"/>
      <c r="U569" s="23"/>
      <c r="V569" s="96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</row>
    <row r="570" spans="1:40" ht="15.7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96"/>
      <c r="N570" s="23"/>
      <c r="O570" s="23"/>
      <c r="P570" s="23"/>
      <c r="Q570" s="23"/>
      <c r="R570" s="23"/>
      <c r="S570" s="23"/>
      <c r="T570" s="23"/>
      <c r="U570" s="23"/>
      <c r="V570" s="96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</row>
    <row r="571" spans="1:40" ht="15.7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96"/>
      <c r="N571" s="23"/>
      <c r="O571" s="23"/>
      <c r="P571" s="23"/>
      <c r="Q571" s="23"/>
      <c r="R571" s="23"/>
      <c r="S571" s="23"/>
      <c r="T571" s="23"/>
      <c r="U571" s="23"/>
      <c r="V571" s="96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</row>
    <row r="572" spans="1:40" ht="15.7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96"/>
      <c r="N572" s="23"/>
      <c r="O572" s="23"/>
      <c r="P572" s="23"/>
      <c r="Q572" s="23"/>
      <c r="R572" s="23"/>
      <c r="S572" s="23"/>
      <c r="T572" s="23"/>
      <c r="U572" s="23"/>
      <c r="V572" s="96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</row>
    <row r="573" spans="1:40" ht="15.7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96"/>
      <c r="N573" s="23"/>
      <c r="O573" s="23"/>
      <c r="P573" s="23"/>
      <c r="Q573" s="23"/>
      <c r="R573" s="23"/>
      <c r="S573" s="23"/>
      <c r="T573" s="23"/>
      <c r="U573" s="23"/>
      <c r="V573" s="96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</row>
    <row r="574" spans="1:40" ht="15.7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96"/>
      <c r="N574" s="23"/>
      <c r="O574" s="23"/>
      <c r="P574" s="23"/>
      <c r="Q574" s="23"/>
      <c r="R574" s="23"/>
      <c r="S574" s="23"/>
      <c r="T574" s="23"/>
      <c r="U574" s="23"/>
      <c r="V574" s="96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</row>
    <row r="575" spans="1:40" ht="15.7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96"/>
      <c r="N575" s="23"/>
      <c r="O575" s="23"/>
      <c r="P575" s="23"/>
      <c r="Q575" s="23"/>
      <c r="R575" s="23"/>
      <c r="S575" s="23"/>
      <c r="T575" s="23"/>
      <c r="U575" s="23"/>
      <c r="V575" s="96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</row>
    <row r="576" spans="1:40" ht="15.7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96"/>
      <c r="N576" s="23"/>
      <c r="O576" s="23"/>
      <c r="P576" s="23"/>
      <c r="Q576" s="23"/>
      <c r="R576" s="23"/>
      <c r="S576" s="23"/>
      <c r="T576" s="23"/>
      <c r="U576" s="23"/>
      <c r="V576" s="96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</row>
    <row r="577" spans="1:40" ht="15.7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96"/>
      <c r="N577" s="23"/>
      <c r="O577" s="23"/>
      <c r="P577" s="23"/>
      <c r="Q577" s="23"/>
      <c r="R577" s="23"/>
      <c r="S577" s="23"/>
      <c r="T577" s="23"/>
      <c r="U577" s="23"/>
      <c r="V577" s="96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</row>
    <row r="578" spans="1:40" ht="15.7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96"/>
      <c r="N578" s="23"/>
      <c r="O578" s="23"/>
      <c r="P578" s="23"/>
      <c r="Q578" s="23"/>
      <c r="R578" s="23"/>
      <c r="S578" s="23"/>
      <c r="T578" s="23"/>
      <c r="U578" s="23"/>
      <c r="V578" s="96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</row>
    <row r="579" spans="1:40" ht="15.7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96"/>
      <c r="N579" s="23"/>
      <c r="O579" s="23"/>
      <c r="P579" s="23"/>
      <c r="Q579" s="23"/>
      <c r="R579" s="23"/>
      <c r="S579" s="23"/>
      <c r="T579" s="23"/>
      <c r="U579" s="23"/>
      <c r="V579" s="96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</row>
    <row r="580" spans="1:40" ht="15.7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96"/>
      <c r="N580" s="23"/>
      <c r="O580" s="23"/>
      <c r="P580" s="23"/>
      <c r="Q580" s="23"/>
      <c r="R580" s="23"/>
      <c r="S580" s="23"/>
      <c r="T580" s="23"/>
      <c r="U580" s="23"/>
      <c r="V580" s="96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</row>
    <row r="581" spans="1:40" ht="15.7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96"/>
      <c r="N581" s="23"/>
      <c r="O581" s="23"/>
      <c r="P581" s="23"/>
      <c r="Q581" s="23"/>
      <c r="R581" s="23"/>
      <c r="S581" s="23"/>
      <c r="T581" s="23"/>
      <c r="U581" s="23"/>
      <c r="V581" s="96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</row>
    <row r="582" spans="1:40" ht="15.7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96"/>
      <c r="N582" s="23"/>
      <c r="O582" s="23"/>
      <c r="P582" s="23"/>
      <c r="Q582" s="23"/>
      <c r="R582" s="23"/>
      <c r="S582" s="23"/>
      <c r="T582" s="23"/>
      <c r="U582" s="23"/>
      <c r="V582" s="96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</row>
    <row r="583" spans="1:40" ht="15.7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96"/>
      <c r="N583" s="23"/>
      <c r="O583" s="23"/>
      <c r="P583" s="23"/>
      <c r="Q583" s="23"/>
      <c r="R583" s="23"/>
      <c r="S583" s="23"/>
      <c r="T583" s="23"/>
      <c r="U583" s="23"/>
      <c r="V583" s="96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</row>
    <row r="584" spans="1:40" ht="15.7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96"/>
      <c r="N584" s="23"/>
      <c r="O584" s="23"/>
      <c r="P584" s="23"/>
      <c r="Q584" s="23"/>
      <c r="R584" s="23"/>
      <c r="S584" s="23"/>
      <c r="T584" s="23"/>
      <c r="U584" s="23"/>
      <c r="V584" s="96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</row>
    <row r="585" spans="1:40" ht="15.7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96"/>
      <c r="N585" s="23"/>
      <c r="O585" s="23"/>
      <c r="P585" s="23"/>
      <c r="Q585" s="23"/>
      <c r="R585" s="23"/>
      <c r="S585" s="23"/>
      <c r="T585" s="23"/>
      <c r="U585" s="23"/>
      <c r="V585" s="96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</row>
    <row r="586" spans="1:40" ht="15.7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96"/>
      <c r="N586" s="23"/>
      <c r="O586" s="23"/>
      <c r="P586" s="23"/>
      <c r="Q586" s="23"/>
      <c r="R586" s="23"/>
      <c r="S586" s="23"/>
      <c r="T586" s="23"/>
      <c r="U586" s="23"/>
      <c r="V586" s="96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</row>
    <row r="587" spans="1:40" ht="15.7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96"/>
      <c r="N587" s="23"/>
      <c r="O587" s="23"/>
      <c r="P587" s="23"/>
      <c r="Q587" s="23"/>
      <c r="R587" s="23"/>
      <c r="S587" s="23"/>
      <c r="T587" s="23"/>
      <c r="U587" s="23"/>
      <c r="V587" s="96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</row>
    <row r="588" spans="1:40" ht="15.7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96"/>
      <c r="N588" s="23"/>
      <c r="O588" s="23"/>
      <c r="P588" s="23"/>
      <c r="Q588" s="23"/>
      <c r="R588" s="23"/>
      <c r="S588" s="23"/>
      <c r="T588" s="23"/>
      <c r="U588" s="23"/>
      <c r="V588" s="96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</row>
    <row r="589" spans="1:40" ht="15.7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96"/>
      <c r="N589" s="23"/>
      <c r="O589" s="23"/>
      <c r="P589" s="23"/>
      <c r="Q589" s="23"/>
      <c r="R589" s="23"/>
      <c r="S589" s="23"/>
      <c r="T589" s="23"/>
      <c r="U589" s="23"/>
      <c r="V589" s="96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</row>
    <row r="590" spans="1:40" ht="15.7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96"/>
      <c r="N590" s="23"/>
      <c r="O590" s="23"/>
      <c r="P590" s="23"/>
      <c r="Q590" s="23"/>
      <c r="R590" s="23"/>
      <c r="S590" s="23"/>
      <c r="T590" s="23"/>
      <c r="U590" s="23"/>
      <c r="V590" s="96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</row>
    <row r="591" spans="1:40" ht="15.7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96"/>
      <c r="N591" s="23"/>
      <c r="O591" s="23"/>
      <c r="P591" s="23"/>
      <c r="Q591" s="23"/>
      <c r="R591" s="23"/>
      <c r="S591" s="23"/>
      <c r="T591" s="23"/>
      <c r="U591" s="23"/>
      <c r="V591" s="96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</row>
    <row r="592" spans="1:40" ht="15.7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96"/>
      <c r="N592" s="23"/>
      <c r="O592" s="23"/>
      <c r="P592" s="23"/>
      <c r="Q592" s="23"/>
      <c r="R592" s="23"/>
      <c r="S592" s="23"/>
      <c r="T592" s="23"/>
      <c r="U592" s="23"/>
      <c r="V592" s="96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</row>
    <row r="593" spans="1:40" ht="15.7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96"/>
      <c r="N593" s="23"/>
      <c r="O593" s="23"/>
      <c r="P593" s="23"/>
      <c r="Q593" s="23"/>
      <c r="R593" s="23"/>
      <c r="S593" s="23"/>
      <c r="T593" s="23"/>
      <c r="U593" s="23"/>
      <c r="V593" s="96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</row>
    <row r="594" spans="1:40" ht="15.7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96"/>
      <c r="N594" s="23"/>
      <c r="O594" s="23"/>
      <c r="P594" s="23"/>
      <c r="Q594" s="23"/>
      <c r="R594" s="23"/>
      <c r="S594" s="23"/>
      <c r="T594" s="23"/>
      <c r="U594" s="23"/>
      <c r="V594" s="96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</row>
    <row r="595" spans="1:40" ht="15.7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96"/>
      <c r="N595" s="23"/>
      <c r="O595" s="23"/>
      <c r="P595" s="23"/>
      <c r="Q595" s="23"/>
      <c r="R595" s="23"/>
      <c r="S595" s="23"/>
      <c r="T595" s="23"/>
      <c r="U595" s="23"/>
      <c r="V595" s="96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</row>
    <row r="596" spans="1:40" ht="15.7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96"/>
      <c r="N596" s="23"/>
      <c r="O596" s="23"/>
      <c r="P596" s="23"/>
      <c r="Q596" s="23"/>
      <c r="R596" s="23"/>
      <c r="S596" s="23"/>
      <c r="T596" s="23"/>
      <c r="U596" s="23"/>
      <c r="V596" s="96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</row>
    <row r="597" spans="1:40" ht="15.7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96"/>
      <c r="N597" s="23"/>
      <c r="O597" s="23"/>
      <c r="P597" s="23"/>
      <c r="Q597" s="23"/>
      <c r="R597" s="23"/>
      <c r="S597" s="23"/>
      <c r="T597" s="23"/>
      <c r="U597" s="23"/>
      <c r="V597" s="96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</row>
    <row r="598" spans="1:40" ht="15.7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96"/>
      <c r="N598" s="23"/>
      <c r="O598" s="23"/>
      <c r="P598" s="23"/>
      <c r="Q598" s="23"/>
      <c r="R598" s="23"/>
      <c r="S598" s="23"/>
      <c r="T598" s="23"/>
      <c r="U598" s="23"/>
      <c r="V598" s="96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</row>
    <row r="599" spans="1:40" ht="15.7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96"/>
      <c r="N599" s="23"/>
      <c r="O599" s="23"/>
      <c r="P599" s="23"/>
      <c r="Q599" s="23"/>
      <c r="R599" s="23"/>
      <c r="S599" s="23"/>
      <c r="T599" s="23"/>
      <c r="U599" s="23"/>
      <c r="V599" s="96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</row>
    <row r="600" spans="1:40" ht="15.7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96"/>
      <c r="N600" s="23"/>
      <c r="O600" s="23"/>
      <c r="P600" s="23"/>
      <c r="Q600" s="23"/>
      <c r="R600" s="23"/>
      <c r="S600" s="23"/>
      <c r="T600" s="23"/>
      <c r="U600" s="23"/>
      <c r="V600" s="96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</row>
    <row r="601" spans="1:40" ht="15.7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96"/>
      <c r="N601" s="23"/>
      <c r="O601" s="23"/>
      <c r="P601" s="23"/>
      <c r="Q601" s="23"/>
      <c r="R601" s="23"/>
      <c r="S601" s="23"/>
      <c r="T601" s="23"/>
      <c r="U601" s="23"/>
      <c r="V601" s="96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</row>
    <row r="602" spans="1:40" ht="15.7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96"/>
      <c r="N602" s="23"/>
      <c r="O602" s="23"/>
      <c r="P602" s="23"/>
      <c r="Q602" s="23"/>
      <c r="R602" s="23"/>
      <c r="S602" s="23"/>
      <c r="T602" s="23"/>
      <c r="U602" s="23"/>
      <c r="V602" s="96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</row>
    <row r="603" spans="1:40" ht="15.7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96"/>
      <c r="N603" s="23"/>
      <c r="O603" s="23"/>
      <c r="P603" s="23"/>
      <c r="Q603" s="23"/>
      <c r="R603" s="23"/>
      <c r="S603" s="23"/>
      <c r="T603" s="23"/>
      <c r="U603" s="23"/>
      <c r="V603" s="96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</row>
    <row r="604" spans="1:40" ht="15.7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96"/>
      <c r="N604" s="23"/>
      <c r="O604" s="23"/>
      <c r="P604" s="23"/>
      <c r="Q604" s="23"/>
      <c r="R604" s="23"/>
      <c r="S604" s="23"/>
      <c r="T604" s="23"/>
      <c r="U604" s="23"/>
      <c r="V604" s="96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</row>
    <row r="605" spans="1:40" ht="15.7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96"/>
      <c r="N605" s="23"/>
      <c r="O605" s="23"/>
      <c r="P605" s="23"/>
      <c r="Q605" s="23"/>
      <c r="R605" s="23"/>
      <c r="S605" s="23"/>
      <c r="T605" s="23"/>
      <c r="U605" s="23"/>
      <c r="V605" s="96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</row>
    <row r="606" spans="1:40" ht="15.7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96"/>
      <c r="N606" s="23"/>
      <c r="O606" s="23"/>
      <c r="P606" s="23"/>
      <c r="Q606" s="23"/>
      <c r="R606" s="23"/>
      <c r="S606" s="23"/>
      <c r="T606" s="23"/>
      <c r="U606" s="23"/>
      <c r="V606" s="96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</row>
    <row r="607" spans="1:40" ht="15.7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96"/>
      <c r="N607" s="23"/>
      <c r="O607" s="23"/>
      <c r="P607" s="23"/>
      <c r="Q607" s="23"/>
      <c r="R607" s="23"/>
      <c r="S607" s="23"/>
      <c r="T607" s="23"/>
      <c r="U607" s="23"/>
      <c r="V607" s="96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</row>
    <row r="608" spans="1:40" ht="15.7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96"/>
      <c r="N608" s="23"/>
      <c r="O608" s="23"/>
      <c r="P608" s="23"/>
      <c r="Q608" s="23"/>
      <c r="R608" s="23"/>
      <c r="S608" s="23"/>
      <c r="T608" s="23"/>
      <c r="U608" s="23"/>
      <c r="V608" s="96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</row>
    <row r="609" spans="1:40" ht="15.7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96"/>
      <c r="N609" s="23"/>
      <c r="O609" s="23"/>
      <c r="P609" s="23"/>
      <c r="Q609" s="23"/>
      <c r="R609" s="23"/>
      <c r="S609" s="23"/>
      <c r="T609" s="23"/>
      <c r="U609" s="23"/>
      <c r="V609" s="96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</row>
    <row r="610" spans="1:40" ht="15.7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96"/>
      <c r="N610" s="23"/>
      <c r="O610" s="23"/>
      <c r="P610" s="23"/>
      <c r="Q610" s="23"/>
      <c r="R610" s="23"/>
      <c r="S610" s="23"/>
      <c r="T610" s="23"/>
      <c r="U610" s="23"/>
      <c r="V610" s="96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</row>
    <row r="611" spans="1:40" ht="15.7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96"/>
      <c r="N611" s="23"/>
      <c r="O611" s="23"/>
      <c r="P611" s="23"/>
      <c r="Q611" s="23"/>
      <c r="R611" s="23"/>
      <c r="S611" s="23"/>
      <c r="T611" s="23"/>
      <c r="U611" s="23"/>
      <c r="V611" s="96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</row>
    <row r="612" spans="1:40" ht="15.7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96"/>
      <c r="N612" s="23"/>
      <c r="O612" s="23"/>
      <c r="P612" s="23"/>
      <c r="Q612" s="23"/>
      <c r="R612" s="23"/>
      <c r="S612" s="23"/>
      <c r="T612" s="23"/>
      <c r="U612" s="23"/>
      <c r="V612" s="96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</row>
    <row r="613" spans="1:40" ht="15.7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96"/>
      <c r="N613" s="23"/>
      <c r="O613" s="23"/>
      <c r="P613" s="23"/>
      <c r="Q613" s="23"/>
      <c r="R613" s="23"/>
      <c r="S613" s="23"/>
      <c r="T613" s="23"/>
      <c r="U613" s="23"/>
      <c r="V613" s="96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</row>
    <row r="614" spans="1:40" ht="15.7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96"/>
      <c r="N614" s="23"/>
      <c r="O614" s="23"/>
      <c r="P614" s="23"/>
      <c r="Q614" s="23"/>
      <c r="R614" s="23"/>
      <c r="S614" s="23"/>
      <c r="T614" s="23"/>
      <c r="U614" s="23"/>
      <c r="V614" s="96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</row>
    <row r="615" spans="1:40" ht="15.7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96"/>
      <c r="N615" s="23"/>
      <c r="O615" s="23"/>
      <c r="P615" s="23"/>
      <c r="Q615" s="23"/>
      <c r="R615" s="23"/>
      <c r="S615" s="23"/>
      <c r="T615" s="23"/>
      <c r="U615" s="23"/>
      <c r="V615" s="96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</row>
    <row r="616" spans="1:40" ht="15.7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96"/>
      <c r="N616" s="23"/>
      <c r="O616" s="23"/>
      <c r="P616" s="23"/>
      <c r="Q616" s="23"/>
      <c r="R616" s="23"/>
      <c r="S616" s="23"/>
      <c r="T616" s="23"/>
      <c r="U616" s="23"/>
      <c r="V616" s="96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</row>
    <row r="617" spans="1:40" ht="15.7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96"/>
      <c r="N617" s="23"/>
      <c r="O617" s="23"/>
      <c r="P617" s="23"/>
      <c r="Q617" s="23"/>
      <c r="R617" s="23"/>
      <c r="S617" s="23"/>
      <c r="T617" s="23"/>
      <c r="U617" s="23"/>
      <c r="V617" s="96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</row>
    <row r="618" spans="1:40" ht="15.7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96"/>
      <c r="N618" s="23"/>
      <c r="O618" s="23"/>
      <c r="P618" s="23"/>
      <c r="Q618" s="23"/>
      <c r="R618" s="23"/>
      <c r="S618" s="23"/>
      <c r="T618" s="23"/>
      <c r="U618" s="23"/>
      <c r="V618" s="96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</row>
    <row r="619" spans="1:40" ht="15.7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96"/>
      <c r="N619" s="23"/>
      <c r="O619" s="23"/>
      <c r="P619" s="23"/>
      <c r="Q619" s="23"/>
      <c r="R619" s="23"/>
      <c r="S619" s="23"/>
      <c r="T619" s="23"/>
      <c r="U619" s="23"/>
      <c r="V619" s="96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</row>
    <row r="620" spans="1:40" ht="15.7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96"/>
      <c r="N620" s="23"/>
      <c r="O620" s="23"/>
      <c r="P620" s="23"/>
      <c r="Q620" s="23"/>
      <c r="R620" s="23"/>
      <c r="S620" s="23"/>
      <c r="T620" s="23"/>
      <c r="U620" s="23"/>
      <c r="V620" s="96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</row>
    <row r="621" spans="1:40" ht="15.7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96"/>
      <c r="N621" s="23"/>
      <c r="O621" s="23"/>
      <c r="P621" s="23"/>
      <c r="Q621" s="23"/>
      <c r="R621" s="23"/>
      <c r="S621" s="23"/>
      <c r="T621" s="23"/>
      <c r="U621" s="23"/>
      <c r="V621" s="96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</row>
    <row r="622" spans="1:40" ht="15.7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96"/>
      <c r="N622" s="23"/>
      <c r="O622" s="23"/>
      <c r="P622" s="23"/>
      <c r="Q622" s="23"/>
      <c r="R622" s="23"/>
      <c r="S622" s="23"/>
      <c r="T622" s="23"/>
      <c r="U622" s="23"/>
      <c r="V622" s="96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</row>
    <row r="623" spans="1:40" ht="15.7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96"/>
      <c r="N623" s="23"/>
      <c r="O623" s="23"/>
      <c r="P623" s="23"/>
      <c r="Q623" s="23"/>
      <c r="R623" s="23"/>
      <c r="S623" s="23"/>
      <c r="T623" s="23"/>
      <c r="U623" s="23"/>
      <c r="V623" s="96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</row>
    <row r="624" spans="1:40" ht="15.7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96"/>
      <c r="N624" s="23"/>
      <c r="O624" s="23"/>
      <c r="P624" s="23"/>
      <c r="Q624" s="23"/>
      <c r="R624" s="23"/>
      <c r="S624" s="23"/>
      <c r="T624" s="23"/>
      <c r="U624" s="23"/>
      <c r="V624" s="96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</row>
    <row r="625" spans="1:40" ht="15.7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96"/>
      <c r="N625" s="23"/>
      <c r="O625" s="23"/>
      <c r="P625" s="23"/>
      <c r="Q625" s="23"/>
      <c r="R625" s="23"/>
      <c r="S625" s="23"/>
      <c r="T625" s="23"/>
      <c r="U625" s="23"/>
      <c r="V625" s="96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</row>
    <row r="626" spans="1:40" ht="15.7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96"/>
      <c r="N626" s="23"/>
      <c r="O626" s="23"/>
      <c r="P626" s="23"/>
      <c r="Q626" s="23"/>
      <c r="R626" s="23"/>
      <c r="S626" s="23"/>
      <c r="T626" s="23"/>
      <c r="U626" s="23"/>
      <c r="V626" s="96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</row>
    <row r="627" spans="1:40" ht="15.7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96"/>
      <c r="N627" s="23"/>
      <c r="O627" s="23"/>
      <c r="P627" s="23"/>
      <c r="Q627" s="23"/>
      <c r="R627" s="23"/>
      <c r="S627" s="23"/>
      <c r="T627" s="23"/>
      <c r="U627" s="23"/>
      <c r="V627" s="96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</row>
    <row r="628" spans="1:40" ht="15.7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96"/>
      <c r="N628" s="23"/>
      <c r="O628" s="23"/>
      <c r="P628" s="23"/>
      <c r="Q628" s="23"/>
      <c r="R628" s="23"/>
      <c r="S628" s="23"/>
      <c r="T628" s="23"/>
      <c r="U628" s="23"/>
      <c r="V628" s="96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</row>
    <row r="629" spans="1:40" ht="15.7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96"/>
      <c r="N629" s="23"/>
      <c r="O629" s="23"/>
      <c r="P629" s="23"/>
      <c r="Q629" s="23"/>
      <c r="R629" s="23"/>
      <c r="S629" s="23"/>
      <c r="T629" s="23"/>
      <c r="U629" s="23"/>
      <c r="V629" s="96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</row>
    <row r="630" spans="1:40" ht="15.7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96"/>
      <c r="N630" s="23"/>
      <c r="O630" s="23"/>
      <c r="P630" s="23"/>
      <c r="Q630" s="23"/>
      <c r="R630" s="23"/>
      <c r="S630" s="23"/>
      <c r="T630" s="23"/>
      <c r="U630" s="23"/>
      <c r="V630" s="96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</row>
    <row r="631" spans="1:40" ht="15.7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96"/>
      <c r="N631" s="23"/>
      <c r="O631" s="23"/>
      <c r="P631" s="23"/>
      <c r="Q631" s="23"/>
      <c r="R631" s="23"/>
      <c r="S631" s="23"/>
      <c r="T631" s="23"/>
      <c r="U631" s="23"/>
      <c r="V631" s="96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</row>
    <row r="632" spans="1:40" ht="15.7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96"/>
      <c r="N632" s="23"/>
      <c r="O632" s="23"/>
      <c r="P632" s="23"/>
      <c r="Q632" s="23"/>
      <c r="R632" s="23"/>
      <c r="S632" s="23"/>
      <c r="T632" s="23"/>
      <c r="U632" s="23"/>
      <c r="V632" s="96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</row>
    <row r="633" spans="1:40" ht="15.7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96"/>
      <c r="N633" s="23"/>
      <c r="O633" s="23"/>
      <c r="P633" s="23"/>
      <c r="Q633" s="23"/>
      <c r="R633" s="23"/>
      <c r="S633" s="23"/>
      <c r="T633" s="23"/>
      <c r="U633" s="23"/>
      <c r="V633" s="96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</row>
    <row r="634" spans="1:40" ht="15.7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96"/>
      <c r="N634" s="23"/>
      <c r="O634" s="23"/>
      <c r="P634" s="23"/>
      <c r="Q634" s="23"/>
      <c r="R634" s="23"/>
      <c r="S634" s="23"/>
      <c r="T634" s="23"/>
      <c r="U634" s="23"/>
      <c r="V634" s="96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</row>
    <row r="635" spans="1:40" ht="15.7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96"/>
      <c r="N635" s="23"/>
      <c r="O635" s="23"/>
      <c r="P635" s="23"/>
      <c r="Q635" s="23"/>
      <c r="R635" s="23"/>
      <c r="S635" s="23"/>
      <c r="T635" s="23"/>
      <c r="U635" s="23"/>
      <c r="V635" s="96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</row>
    <row r="636" spans="1:40" ht="15.7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96"/>
      <c r="N636" s="23"/>
      <c r="O636" s="23"/>
      <c r="P636" s="23"/>
      <c r="Q636" s="23"/>
      <c r="R636" s="23"/>
      <c r="S636" s="23"/>
      <c r="T636" s="23"/>
      <c r="U636" s="23"/>
      <c r="V636" s="96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</row>
    <row r="637" spans="1:40" ht="15.7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96"/>
      <c r="N637" s="23"/>
      <c r="O637" s="23"/>
      <c r="P637" s="23"/>
      <c r="Q637" s="23"/>
      <c r="R637" s="23"/>
      <c r="S637" s="23"/>
      <c r="T637" s="23"/>
      <c r="U637" s="23"/>
      <c r="V637" s="96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</row>
    <row r="638" spans="1:40" ht="15.7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96"/>
      <c r="N638" s="23"/>
      <c r="O638" s="23"/>
      <c r="P638" s="23"/>
      <c r="Q638" s="23"/>
      <c r="R638" s="23"/>
      <c r="S638" s="23"/>
      <c r="T638" s="23"/>
      <c r="U638" s="23"/>
      <c r="V638" s="96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</row>
    <row r="639" spans="1:40" ht="15.7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96"/>
      <c r="N639" s="23"/>
      <c r="O639" s="23"/>
      <c r="P639" s="23"/>
      <c r="Q639" s="23"/>
      <c r="R639" s="23"/>
      <c r="S639" s="23"/>
      <c r="T639" s="23"/>
      <c r="U639" s="23"/>
      <c r="V639" s="96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</row>
    <row r="640" spans="1:40" ht="15.7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96"/>
      <c r="N640" s="23"/>
      <c r="O640" s="23"/>
      <c r="P640" s="23"/>
      <c r="Q640" s="23"/>
      <c r="R640" s="23"/>
      <c r="S640" s="23"/>
      <c r="T640" s="23"/>
      <c r="U640" s="23"/>
      <c r="V640" s="96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</row>
    <row r="641" spans="1:40" ht="15.7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96"/>
      <c r="N641" s="23"/>
      <c r="O641" s="23"/>
      <c r="P641" s="23"/>
      <c r="Q641" s="23"/>
      <c r="R641" s="23"/>
      <c r="S641" s="23"/>
      <c r="T641" s="23"/>
      <c r="U641" s="23"/>
      <c r="V641" s="96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</row>
    <row r="642" spans="1:40" ht="15.7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96"/>
      <c r="N642" s="23"/>
      <c r="O642" s="23"/>
      <c r="P642" s="23"/>
      <c r="Q642" s="23"/>
      <c r="R642" s="23"/>
      <c r="S642" s="23"/>
      <c r="T642" s="23"/>
      <c r="U642" s="23"/>
      <c r="V642" s="96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</row>
    <row r="643" spans="1:40" ht="15.7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96"/>
      <c r="N643" s="23"/>
      <c r="O643" s="23"/>
      <c r="P643" s="23"/>
      <c r="Q643" s="23"/>
      <c r="R643" s="23"/>
      <c r="S643" s="23"/>
      <c r="T643" s="23"/>
      <c r="U643" s="23"/>
      <c r="V643" s="96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</row>
    <row r="644" spans="1:40" ht="15.7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96"/>
      <c r="N644" s="23"/>
      <c r="O644" s="23"/>
      <c r="P644" s="23"/>
      <c r="Q644" s="23"/>
      <c r="R644" s="23"/>
      <c r="S644" s="23"/>
      <c r="T644" s="23"/>
      <c r="U644" s="23"/>
      <c r="V644" s="96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</row>
    <row r="645" spans="1:40" ht="15.7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96"/>
      <c r="N645" s="23"/>
      <c r="O645" s="23"/>
      <c r="P645" s="23"/>
      <c r="Q645" s="23"/>
      <c r="R645" s="23"/>
      <c r="S645" s="23"/>
      <c r="T645" s="23"/>
      <c r="U645" s="23"/>
      <c r="V645" s="96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</row>
    <row r="646" spans="1:40" ht="15.7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96"/>
      <c r="N646" s="23"/>
      <c r="O646" s="23"/>
      <c r="P646" s="23"/>
      <c r="Q646" s="23"/>
      <c r="R646" s="23"/>
      <c r="S646" s="23"/>
      <c r="T646" s="23"/>
      <c r="U646" s="23"/>
      <c r="V646" s="96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</row>
    <row r="647" spans="1:40" ht="15.7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96"/>
      <c r="N647" s="23"/>
      <c r="O647" s="23"/>
      <c r="P647" s="23"/>
      <c r="Q647" s="23"/>
      <c r="R647" s="23"/>
      <c r="S647" s="23"/>
      <c r="T647" s="23"/>
      <c r="U647" s="23"/>
      <c r="V647" s="96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</row>
    <row r="648" spans="1:40" ht="15.7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96"/>
      <c r="N648" s="23"/>
      <c r="O648" s="23"/>
      <c r="P648" s="23"/>
      <c r="Q648" s="23"/>
      <c r="R648" s="23"/>
      <c r="S648" s="23"/>
      <c r="T648" s="23"/>
      <c r="U648" s="23"/>
      <c r="V648" s="96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</row>
    <row r="649" spans="1:40" ht="15.7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96"/>
      <c r="N649" s="23"/>
      <c r="O649" s="23"/>
      <c r="P649" s="23"/>
      <c r="Q649" s="23"/>
      <c r="R649" s="23"/>
      <c r="S649" s="23"/>
      <c r="T649" s="23"/>
      <c r="U649" s="23"/>
      <c r="V649" s="96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</row>
    <row r="650" spans="1:40" ht="15.7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96"/>
      <c r="N650" s="23"/>
      <c r="O650" s="23"/>
      <c r="P650" s="23"/>
      <c r="Q650" s="23"/>
      <c r="R650" s="23"/>
      <c r="S650" s="23"/>
      <c r="T650" s="23"/>
      <c r="U650" s="23"/>
      <c r="V650" s="96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</row>
    <row r="651" spans="1:40" ht="15.7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96"/>
      <c r="N651" s="23"/>
      <c r="O651" s="23"/>
      <c r="P651" s="23"/>
      <c r="Q651" s="23"/>
      <c r="R651" s="23"/>
      <c r="S651" s="23"/>
      <c r="T651" s="23"/>
      <c r="U651" s="23"/>
      <c r="V651" s="96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</row>
    <row r="652" spans="1:40" ht="15.7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96"/>
      <c r="N652" s="23"/>
      <c r="O652" s="23"/>
      <c r="P652" s="23"/>
      <c r="Q652" s="23"/>
      <c r="R652" s="23"/>
      <c r="S652" s="23"/>
      <c r="T652" s="23"/>
      <c r="U652" s="23"/>
      <c r="V652" s="96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</row>
    <row r="653" spans="1:40" ht="15.7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96"/>
      <c r="N653" s="23"/>
      <c r="O653" s="23"/>
      <c r="P653" s="23"/>
      <c r="Q653" s="23"/>
      <c r="R653" s="23"/>
      <c r="S653" s="23"/>
      <c r="T653" s="23"/>
      <c r="U653" s="23"/>
      <c r="V653" s="96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</row>
    <row r="654" spans="1:40" ht="15.7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96"/>
      <c r="N654" s="23"/>
      <c r="O654" s="23"/>
      <c r="P654" s="23"/>
      <c r="Q654" s="23"/>
      <c r="R654" s="23"/>
      <c r="S654" s="23"/>
      <c r="T654" s="23"/>
      <c r="U654" s="23"/>
      <c r="V654" s="96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</row>
    <row r="655" spans="1:40" ht="15.7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96"/>
      <c r="N655" s="23"/>
      <c r="O655" s="23"/>
      <c r="P655" s="23"/>
      <c r="Q655" s="23"/>
      <c r="R655" s="23"/>
      <c r="S655" s="23"/>
      <c r="T655" s="23"/>
      <c r="U655" s="23"/>
      <c r="V655" s="96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</row>
    <row r="656" spans="1:40" ht="15.7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96"/>
      <c r="N656" s="23"/>
      <c r="O656" s="23"/>
      <c r="P656" s="23"/>
      <c r="Q656" s="23"/>
      <c r="R656" s="23"/>
      <c r="S656" s="23"/>
      <c r="T656" s="23"/>
      <c r="U656" s="23"/>
      <c r="V656" s="96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</row>
    <row r="657" spans="1:40" ht="15.7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96"/>
      <c r="N657" s="23"/>
      <c r="O657" s="23"/>
      <c r="P657" s="23"/>
      <c r="Q657" s="23"/>
      <c r="R657" s="23"/>
      <c r="S657" s="23"/>
      <c r="T657" s="23"/>
      <c r="U657" s="23"/>
      <c r="V657" s="96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</row>
    <row r="658" spans="1:40" ht="15.7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96"/>
      <c r="N658" s="23"/>
      <c r="O658" s="23"/>
      <c r="P658" s="23"/>
      <c r="Q658" s="23"/>
      <c r="R658" s="23"/>
      <c r="S658" s="23"/>
      <c r="T658" s="23"/>
      <c r="U658" s="23"/>
      <c r="V658" s="96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</row>
    <row r="659" spans="1:40" ht="15.7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96"/>
      <c r="N659" s="23"/>
      <c r="O659" s="23"/>
      <c r="P659" s="23"/>
      <c r="Q659" s="23"/>
      <c r="R659" s="23"/>
      <c r="S659" s="23"/>
      <c r="T659" s="23"/>
      <c r="U659" s="23"/>
      <c r="V659" s="96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</row>
    <row r="660" spans="1:40" ht="15.7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96"/>
      <c r="N660" s="23"/>
      <c r="O660" s="23"/>
      <c r="P660" s="23"/>
      <c r="Q660" s="23"/>
      <c r="R660" s="23"/>
      <c r="S660" s="23"/>
      <c r="T660" s="23"/>
      <c r="U660" s="23"/>
      <c r="V660" s="96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</row>
    <row r="661" spans="1:40" ht="15.7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96"/>
      <c r="N661" s="23"/>
      <c r="O661" s="23"/>
      <c r="P661" s="23"/>
      <c r="Q661" s="23"/>
      <c r="R661" s="23"/>
      <c r="S661" s="23"/>
      <c r="T661" s="23"/>
      <c r="U661" s="23"/>
      <c r="V661" s="96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</row>
    <row r="662" spans="1:40" ht="15.7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96"/>
      <c r="N662" s="23"/>
      <c r="O662" s="23"/>
      <c r="P662" s="23"/>
      <c r="Q662" s="23"/>
      <c r="R662" s="23"/>
      <c r="S662" s="23"/>
      <c r="T662" s="23"/>
      <c r="U662" s="23"/>
      <c r="V662" s="96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</row>
    <row r="663" spans="1:40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96"/>
      <c r="N663" s="23"/>
      <c r="O663" s="23"/>
      <c r="P663" s="23"/>
      <c r="Q663" s="23"/>
      <c r="R663" s="23"/>
      <c r="S663" s="23"/>
      <c r="T663" s="23"/>
      <c r="U663" s="23"/>
      <c r="V663" s="96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</row>
    <row r="664" spans="1:40" ht="15.7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96"/>
      <c r="N664" s="23"/>
      <c r="O664" s="23"/>
      <c r="P664" s="23"/>
      <c r="Q664" s="23"/>
      <c r="R664" s="23"/>
      <c r="S664" s="23"/>
      <c r="T664" s="23"/>
      <c r="U664" s="23"/>
      <c r="V664" s="96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</row>
    <row r="665" spans="1:40" ht="15.7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96"/>
      <c r="N665" s="23"/>
      <c r="O665" s="23"/>
      <c r="P665" s="23"/>
      <c r="Q665" s="23"/>
      <c r="R665" s="23"/>
      <c r="S665" s="23"/>
      <c r="T665" s="23"/>
      <c r="U665" s="23"/>
      <c r="V665" s="96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</row>
    <row r="666" spans="1:40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96"/>
      <c r="N666" s="23"/>
      <c r="O666" s="23"/>
      <c r="P666" s="23"/>
      <c r="Q666" s="23"/>
      <c r="R666" s="23"/>
      <c r="S666" s="23"/>
      <c r="T666" s="23"/>
      <c r="U666" s="23"/>
      <c r="V666" s="96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</row>
    <row r="667" spans="1:40" ht="15.7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96"/>
      <c r="N667" s="23"/>
      <c r="O667" s="23"/>
      <c r="P667" s="23"/>
      <c r="Q667" s="23"/>
      <c r="R667" s="23"/>
      <c r="S667" s="23"/>
      <c r="T667" s="23"/>
      <c r="U667" s="23"/>
      <c r="V667" s="96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</row>
    <row r="668" spans="1:40" ht="15.7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96"/>
      <c r="N668" s="23"/>
      <c r="O668" s="23"/>
      <c r="P668" s="23"/>
      <c r="Q668" s="23"/>
      <c r="R668" s="23"/>
      <c r="S668" s="23"/>
      <c r="T668" s="23"/>
      <c r="U668" s="23"/>
      <c r="V668" s="96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</row>
    <row r="669" spans="1:40" ht="15.7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96"/>
      <c r="N669" s="23"/>
      <c r="O669" s="23"/>
      <c r="P669" s="23"/>
      <c r="Q669" s="23"/>
      <c r="R669" s="23"/>
      <c r="S669" s="23"/>
      <c r="T669" s="23"/>
      <c r="U669" s="23"/>
      <c r="V669" s="96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</row>
    <row r="670" spans="1:40" ht="15.7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96"/>
      <c r="N670" s="23"/>
      <c r="O670" s="23"/>
      <c r="P670" s="23"/>
      <c r="Q670" s="23"/>
      <c r="R670" s="23"/>
      <c r="S670" s="23"/>
      <c r="T670" s="23"/>
      <c r="U670" s="23"/>
      <c r="V670" s="96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</row>
    <row r="671" spans="1:40" ht="15.7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96"/>
      <c r="N671" s="23"/>
      <c r="O671" s="23"/>
      <c r="P671" s="23"/>
      <c r="Q671" s="23"/>
      <c r="R671" s="23"/>
      <c r="S671" s="23"/>
      <c r="T671" s="23"/>
      <c r="U671" s="23"/>
      <c r="V671" s="96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</row>
    <row r="672" spans="1:40" ht="15.7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96"/>
      <c r="N672" s="23"/>
      <c r="O672" s="23"/>
      <c r="P672" s="23"/>
      <c r="Q672" s="23"/>
      <c r="R672" s="23"/>
      <c r="S672" s="23"/>
      <c r="T672" s="23"/>
      <c r="U672" s="23"/>
      <c r="V672" s="96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</row>
    <row r="673" spans="1:40" ht="15.7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96"/>
      <c r="N673" s="23"/>
      <c r="O673" s="23"/>
      <c r="P673" s="23"/>
      <c r="Q673" s="23"/>
      <c r="R673" s="23"/>
      <c r="S673" s="23"/>
      <c r="T673" s="23"/>
      <c r="U673" s="23"/>
      <c r="V673" s="96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</row>
    <row r="674" spans="1:40" ht="15.7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96"/>
      <c r="N674" s="23"/>
      <c r="O674" s="23"/>
      <c r="P674" s="23"/>
      <c r="Q674" s="23"/>
      <c r="R674" s="23"/>
      <c r="S674" s="23"/>
      <c r="T674" s="23"/>
      <c r="U674" s="23"/>
      <c r="V674" s="96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</row>
    <row r="675" spans="1:40" ht="15.7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96"/>
      <c r="N675" s="23"/>
      <c r="O675" s="23"/>
      <c r="P675" s="23"/>
      <c r="Q675" s="23"/>
      <c r="R675" s="23"/>
      <c r="S675" s="23"/>
      <c r="T675" s="23"/>
      <c r="U675" s="23"/>
      <c r="V675" s="96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</row>
    <row r="676" spans="1:40" ht="15.7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96"/>
      <c r="N676" s="23"/>
      <c r="O676" s="23"/>
      <c r="P676" s="23"/>
      <c r="Q676" s="23"/>
      <c r="R676" s="23"/>
      <c r="S676" s="23"/>
      <c r="T676" s="23"/>
      <c r="U676" s="23"/>
      <c r="V676" s="96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</row>
    <row r="677" spans="1:40" ht="15.7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96"/>
      <c r="N677" s="23"/>
      <c r="O677" s="23"/>
      <c r="P677" s="23"/>
      <c r="Q677" s="23"/>
      <c r="R677" s="23"/>
      <c r="S677" s="23"/>
      <c r="T677" s="23"/>
      <c r="U677" s="23"/>
      <c r="V677" s="96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</row>
    <row r="678" spans="1:40" ht="15.7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96"/>
      <c r="N678" s="23"/>
      <c r="O678" s="23"/>
      <c r="P678" s="23"/>
      <c r="Q678" s="23"/>
      <c r="R678" s="23"/>
      <c r="S678" s="23"/>
      <c r="T678" s="23"/>
      <c r="U678" s="23"/>
      <c r="V678" s="96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</row>
    <row r="679" spans="1:40" ht="15.7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96"/>
      <c r="N679" s="23"/>
      <c r="O679" s="23"/>
      <c r="P679" s="23"/>
      <c r="Q679" s="23"/>
      <c r="R679" s="23"/>
      <c r="S679" s="23"/>
      <c r="T679" s="23"/>
      <c r="U679" s="23"/>
      <c r="V679" s="96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</row>
    <row r="680" spans="1:40" ht="15.7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96"/>
      <c r="N680" s="23"/>
      <c r="O680" s="23"/>
      <c r="P680" s="23"/>
      <c r="Q680" s="23"/>
      <c r="R680" s="23"/>
      <c r="S680" s="23"/>
      <c r="T680" s="23"/>
      <c r="U680" s="23"/>
      <c r="V680" s="96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</row>
    <row r="681" spans="1:40" ht="15.7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96"/>
      <c r="N681" s="23"/>
      <c r="O681" s="23"/>
      <c r="P681" s="23"/>
      <c r="Q681" s="23"/>
      <c r="R681" s="23"/>
      <c r="S681" s="23"/>
      <c r="T681" s="23"/>
      <c r="U681" s="23"/>
      <c r="V681" s="96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</row>
    <row r="682" spans="1:40" ht="15.7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96"/>
      <c r="N682" s="23"/>
      <c r="O682" s="23"/>
      <c r="P682" s="23"/>
      <c r="Q682" s="23"/>
      <c r="R682" s="23"/>
      <c r="S682" s="23"/>
      <c r="T682" s="23"/>
      <c r="U682" s="23"/>
      <c r="V682" s="96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</row>
    <row r="683" spans="1:40" ht="15.7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96"/>
      <c r="N683" s="23"/>
      <c r="O683" s="23"/>
      <c r="P683" s="23"/>
      <c r="Q683" s="23"/>
      <c r="R683" s="23"/>
      <c r="S683" s="23"/>
      <c r="T683" s="23"/>
      <c r="U683" s="23"/>
      <c r="V683" s="96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</row>
    <row r="684" spans="1:40" ht="15.7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96"/>
      <c r="N684" s="23"/>
      <c r="O684" s="23"/>
      <c r="P684" s="23"/>
      <c r="Q684" s="23"/>
      <c r="R684" s="23"/>
      <c r="S684" s="23"/>
      <c r="T684" s="23"/>
      <c r="U684" s="23"/>
      <c r="V684" s="96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</row>
    <row r="685" spans="1:40" ht="15.7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96"/>
      <c r="N685" s="23"/>
      <c r="O685" s="23"/>
      <c r="P685" s="23"/>
      <c r="Q685" s="23"/>
      <c r="R685" s="23"/>
      <c r="S685" s="23"/>
      <c r="T685" s="23"/>
      <c r="U685" s="23"/>
      <c r="V685" s="96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</row>
    <row r="686" spans="1:40" ht="15.7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96"/>
      <c r="N686" s="23"/>
      <c r="O686" s="23"/>
      <c r="P686" s="23"/>
      <c r="Q686" s="23"/>
      <c r="R686" s="23"/>
      <c r="S686" s="23"/>
      <c r="T686" s="23"/>
      <c r="U686" s="23"/>
      <c r="V686" s="96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</row>
    <row r="687" spans="1:40" ht="15.7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96"/>
      <c r="N687" s="23"/>
      <c r="O687" s="23"/>
      <c r="P687" s="23"/>
      <c r="Q687" s="23"/>
      <c r="R687" s="23"/>
      <c r="S687" s="23"/>
      <c r="T687" s="23"/>
      <c r="U687" s="23"/>
      <c r="V687" s="96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</row>
    <row r="688" spans="1:40" ht="15.7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96"/>
      <c r="N688" s="23"/>
      <c r="O688" s="23"/>
      <c r="P688" s="23"/>
      <c r="Q688" s="23"/>
      <c r="R688" s="23"/>
      <c r="S688" s="23"/>
      <c r="T688" s="23"/>
      <c r="U688" s="23"/>
      <c r="V688" s="96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</row>
    <row r="689" spans="1:40" ht="15.7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96"/>
      <c r="N689" s="23"/>
      <c r="O689" s="23"/>
      <c r="P689" s="23"/>
      <c r="Q689" s="23"/>
      <c r="R689" s="23"/>
      <c r="S689" s="23"/>
      <c r="T689" s="23"/>
      <c r="U689" s="23"/>
      <c r="V689" s="96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</row>
    <row r="690" spans="1:40" ht="15.7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96"/>
      <c r="N690" s="23"/>
      <c r="O690" s="23"/>
      <c r="P690" s="23"/>
      <c r="Q690" s="23"/>
      <c r="R690" s="23"/>
      <c r="S690" s="23"/>
      <c r="T690" s="23"/>
      <c r="U690" s="23"/>
      <c r="V690" s="96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</row>
    <row r="691" spans="1:40" ht="15.7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96"/>
      <c r="N691" s="23"/>
      <c r="O691" s="23"/>
      <c r="P691" s="23"/>
      <c r="Q691" s="23"/>
      <c r="R691" s="23"/>
      <c r="S691" s="23"/>
      <c r="T691" s="23"/>
      <c r="U691" s="23"/>
      <c r="V691" s="96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</row>
    <row r="692" spans="1:40" ht="15.7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96"/>
      <c r="N692" s="23"/>
      <c r="O692" s="23"/>
      <c r="P692" s="23"/>
      <c r="Q692" s="23"/>
      <c r="R692" s="23"/>
      <c r="S692" s="23"/>
      <c r="T692" s="23"/>
      <c r="U692" s="23"/>
      <c r="V692" s="96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</row>
    <row r="693" spans="1:40" ht="15.7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96"/>
      <c r="N693" s="23"/>
      <c r="O693" s="23"/>
      <c r="P693" s="23"/>
      <c r="Q693" s="23"/>
      <c r="R693" s="23"/>
      <c r="S693" s="23"/>
      <c r="T693" s="23"/>
      <c r="U693" s="23"/>
      <c r="V693" s="96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</row>
    <row r="694" spans="1:40" ht="15.7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96"/>
      <c r="N694" s="23"/>
      <c r="O694" s="23"/>
      <c r="P694" s="23"/>
      <c r="Q694" s="23"/>
      <c r="R694" s="23"/>
      <c r="S694" s="23"/>
      <c r="T694" s="23"/>
      <c r="U694" s="23"/>
      <c r="V694" s="96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</row>
    <row r="695" spans="1:40" ht="15.7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96"/>
      <c r="N695" s="23"/>
      <c r="O695" s="23"/>
      <c r="P695" s="23"/>
      <c r="Q695" s="23"/>
      <c r="R695" s="23"/>
      <c r="S695" s="23"/>
      <c r="T695" s="23"/>
      <c r="U695" s="23"/>
      <c r="V695" s="96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</row>
    <row r="696" spans="1:40" ht="15.7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96"/>
      <c r="N696" s="23"/>
      <c r="O696" s="23"/>
      <c r="P696" s="23"/>
      <c r="Q696" s="23"/>
      <c r="R696" s="23"/>
      <c r="S696" s="23"/>
      <c r="T696" s="23"/>
      <c r="U696" s="23"/>
      <c r="V696" s="96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</row>
    <row r="697" spans="1:40" ht="15.7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96"/>
      <c r="N697" s="23"/>
      <c r="O697" s="23"/>
      <c r="P697" s="23"/>
      <c r="Q697" s="23"/>
      <c r="R697" s="23"/>
      <c r="S697" s="23"/>
      <c r="T697" s="23"/>
      <c r="U697" s="23"/>
      <c r="V697" s="96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</row>
    <row r="698" spans="1:40" ht="15.7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96"/>
      <c r="N698" s="23"/>
      <c r="O698" s="23"/>
      <c r="P698" s="23"/>
      <c r="Q698" s="23"/>
      <c r="R698" s="23"/>
      <c r="S698" s="23"/>
      <c r="T698" s="23"/>
      <c r="U698" s="23"/>
      <c r="V698" s="96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</row>
    <row r="699" spans="1:40" ht="15.7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96"/>
      <c r="N699" s="23"/>
      <c r="O699" s="23"/>
      <c r="P699" s="23"/>
      <c r="Q699" s="23"/>
      <c r="R699" s="23"/>
      <c r="S699" s="23"/>
      <c r="T699" s="23"/>
      <c r="U699" s="23"/>
      <c r="V699" s="96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</row>
    <row r="700" spans="1:40" ht="15.7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96"/>
      <c r="N700" s="23"/>
      <c r="O700" s="23"/>
      <c r="P700" s="23"/>
      <c r="Q700" s="23"/>
      <c r="R700" s="23"/>
      <c r="S700" s="23"/>
      <c r="T700" s="23"/>
      <c r="U700" s="23"/>
      <c r="V700" s="96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</row>
    <row r="701" spans="1:40" ht="15.7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96"/>
      <c r="N701" s="23"/>
      <c r="O701" s="23"/>
      <c r="P701" s="23"/>
      <c r="Q701" s="23"/>
      <c r="R701" s="23"/>
      <c r="S701" s="23"/>
      <c r="T701" s="23"/>
      <c r="U701" s="23"/>
      <c r="V701" s="96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</row>
    <row r="702" spans="1:40" ht="15.7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96"/>
      <c r="N702" s="23"/>
      <c r="O702" s="23"/>
      <c r="P702" s="23"/>
      <c r="Q702" s="23"/>
      <c r="R702" s="23"/>
      <c r="S702" s="23"/>
      <c r="T702" s="23"/>
      <c r="U702" s="23"/>
      <c r="V702" s="96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</row>
    <row r="703" spans="1:40" ht="15.7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96"/>
      <c r="N703" s="23"/>
      <c r="O703" s="23"/>
      <c r="P703" s="23"/>
      <c r="Q703" s="23"/>
      <c r="R703" s="23"/>
      <c r="S703" s="23"/>
      <c r="T703" s="23"/>
      <c r="U703" s="23"/>
      <c r="V703" s="96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</row>
    <row r="704" spans="1:40" ht="15.7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96"/>
      <c r="N704" s="23"/>
      <c r="O704" s="23"/>
      <c r="P704" s="23"/>
      <c r="Q704" s="23"/>
      <c r="R704" s="23"/>
      <c r="S704" s="23"/>
      <c r="T704" s="23"/>
      <c r="U704" s="23"/>
      <c r="V704" s="96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</row>
    <row r="705" spans="1:40" ht="15.7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96"/>
      <c r="N705" s="23"/>
      <c r="O705" s="23"/>
      <c r="P705" s="23"/>
      <c r="Q705" s="23"/>
      <c r="R705" s="23"/>
      <c r="S705" s="23"/>
      <c r="T705" s="23"/>
      <c r="U705" s="23"/>
      <c r="V705" s="96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</row>
    <row r="706" spans="1:40" ht="15.7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96"/>
      <c r="N706" s="23"/>
      <c r="O706" s="23"/>
      <c r="P706" s="23"/>
      <c r="Q706" s="23"/>
      <c r="R706" s="23"/>
      <c r="S706" s="23"/>
      <c r="T706" s="23"/>
      <c r="U706" s="23"/>
      <c r="V706" s="96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</row>
    <row r="707" spans="1:40" ht="15.7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96"/>
      <c r="N707" s="23"/>
      <c r="O707" s="23"/>
      <c r="P707" s="23"/>
      <c r="Q707" s="23"/>
      <c r="R707" s="23"/>
      <c r="S707" s="23"/>
      <c r="T707" s="23"/>
      <c r="U707" s="23"/>
      <c r="V707" s="96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</row>
    <row r="708" spans="1:40" ht="15.7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96"/>
      <c r="N708" s="23"/>
      <c r="O708" s="23"/>
      <c r="P708" s="23"/>
      <c r="Q708" s="23"/>
      <c r="R708" s="23"/>
      <c r="S708" s="23"/>
      <c r="T708" s="23"/>
      <c r="U708" s="23"/>
      <c r="V708" s="96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</row>
    <row r="709" spans="1:40" ht="15.7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96"/>
      <c r="N709" s="23"/>
      <c r="O709" s="23"/>
      <c r="P709" s="23"/>
      <c r="Q709" s="23"/>
      <c r="R709" s="23"/>
      <c r="S709" s="23"/>
      <c r="T709" s="23"/>
      <c r="U709" s="23"/>
      <c r="V709" s="96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</row>
    <row r="710" spans="1:40" ht="15.7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96"/>
      <c r="N710" s="23"/>
      <c r="O710" s="23"/>
      <c r="P710" s="23"/>
      <c r="Q710" s="23"/>
      <c r="R710" s="23"/>
      <c r="S710" s="23"/>
      <c r="T710" s="23"/>
      <c r="U710" s="23"/>
      <c r="V710" s="96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</row>
    <row r="711" spans="1:40" ht="15.7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96"/>
      <c r="N711" s="23"/>
      <c r="O711" s="23"/>
      <c r="P711" s="23"/>
      <c r="Q711" s="23"/>
      <c r="R711" s="23"/>
      <c r="S711" s="23"/>
      <c r="T711" s="23"/>
      <c r="U711" s="23"/>
      <c r="V711" s="96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</row>
    <row r="712" spans="1:40" ht="15.7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96"/>
      <c r="N712" s="23"/>
      <c r="O712" s="23"/>
      <c r="P712" s="23"/>
      <c r="Q712" s="23"/>
      <c r="R712" s="23"/>
      <c r="S712" s="23"/>
      <c r="T712" s="23"/>
      <c r="U712" s="23"/>
      <c r="V712" s="96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</row>
    <row r="713" spans="1:40" ht="15.7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96"/>
      <c r="N713" s="23"/>
      <c r="O713" s="23"/>
      <c r="P713" s="23"/>
      <c r="Q713" s="23"/>
      <c r="R713" s="23"/>
      <c r="S713" s="23"/>
      <c r="T713" s="23"/>
      <c r="U713" s="23"/>
      <c r="V713" s="96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</row>
    <row r="714" spans="1:40" ht="15.7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96"/>
      <c r="N714" s="23"/>
      <c r="O714" s="23"/>
      <c r="P714" s="23"/>
      <c r="Q714" s="23"/>
      <c r="R714" s="23"/>
      <c r="S714" s="23"/>
      <c r="T714" s="23"/>
      <c r="U714" s="23"/>
      <c r="V714" s="96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</row>
    <row r="715" spans="1:40" ht="15.7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96"/>
      <c r="N715" s="23"/>
      <c r="O715" s="23"/>
      <c r="P715" s="23"/>
      <c r="Q715" s="23"/>
      <c r="R715" s="23"/>
      <c r="S715" s="23"/>
      <c r="T715" s="23"/>
      <c r="U715" s="23"/>
      <c r="V715" s="96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</row>
    <row r="716" spans="1:40" ht="15.7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96"/>
      <c r="N716" s="23"/>
      <c r="O716" s="23"/>
      <c r="P716" s="23"/>
      <c r="Q716" s="23"/>
      <c r="R716" s="23"/>
      <c r="S716" s="23"/>
      <c r="T716" s="23"/>
      <c r="U716" s="23"/>
      <c r="V716" s="96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</row>
    <row r="717" spans="1:40" ht="15.7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96"/>
      <c r="N717" s="23"/>
      <c r="O717" s="23"/>
      <c r="P717" s="23"/>
      <c r="Q717" s="23"/>
      <c r="R717" s="23"/>
      <c r="S717" s="23"/>
      <c r="T717" s="23"/>
      <c r="U717" s="23"/>
      <c r="V717" s="96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</row>
    <row r="718" spans="1:40" ht="15.7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96"/>
      <c r="N718" s="23"/>
      <c r="O718" s="23"/>
      <c r="P718" s="23"/>
      <c r="Q718" s="23"/>
      <c r="R718" s="23"/>
      <c r="S718" s="23"/>
      <c r="T718" s="23"/>
      <c r="U718" s="23"/>
      <c r="V718" s="96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</row>
    <row r="719" spans="1:40" ht="15.7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96"/>
      <c r="N719" s="23"/>
      <c r="O719" s="23"/>
      <c r="P719" s="23"/>
      <c r="Q719" s="23"/>
      <c r="R719" s="23"/>
      <c r="S719" s="23"/>
      <c r="T719" s="23"/>
      <c r="U719" s="23"/>
      <c r="V719" s="96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</row>
    <row r="720" spans="1:40" ht="15.7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96"/>
      <c r="N720" s="23"/>
      <c r="O720" s="23"/>
      <c r="P720" s="23"/>
      <c r="Q720" s="23"/>
      <c r="R720" s="23"/>
      <c r="S720" s="23"/>
      <c r="T720" s="23"/>
      <c r="U720" s="23"/>
      <c r="V720" s="96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</row>
    <row r="721" spans="1:40" ht="15.7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96"/>
      <c r="N721" s="23"/>
      <c r="O721" s="23"/>
      <c r="P721" s="23"/>
      <c r="Q721" s="23"/>
      <c r="R721" s="23"/>
      <c r="S721" s="23"/>
      <c r="T721" s="23"/>
      <c r="U721" s="23"/>
      <c r="V721" s="96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</row>
    <row r="722" spans="1:40" ht="15.7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96"/>
      <c r="N722" s="23"/>
      <c r="O722" s="23"/>
      <c r="P722" s="23"/>
      <c r="Q722" s="23"/>
      <c r="R722" s="23"/>
      <c r="S722" s="23"/>
      <c r="T722" s="23"/>
      <c r="U722" s="23"/>
      <c r="V722" s="96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</row>
    <row r="723" spans="1:40" ht="15.7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96"/>
      <c r="N723" s="23"/>
      <c r="O723" s="23"/>
      <c r="P723" s="23"/>
      <c r="Q723" s="23"/>
      <c r="R723" s="23"/>
      <c r="S723" s="23"/>
      <c r="T723" s="23"/>
      <c r="U723" s="23"/>
      <c r="V723" s="96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</row>
    <row r="724" spans="1:40" ht="15.7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96"/>
      <c r="N724" s="23"/>
      <c r="O724" s="23"/>
      <c r="P724" s="23"/>
      <c r="Q724" s="23"/>
      <c r="R724" s="23"/>
      <c r="S724" s="23"/>
      <c r="T724" s="23"/>
      <c r="U724" s="23"/>
      <c r="V724" s="96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</row>
    <row r="725" spans="1:40" ht="15.7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96"/>
      <c r="N725" s="23"/>
      <c r="O725" s="23"/>
      <c r="P725" s="23"/>
      <c r="Q725" s="23"/>
      <c r="R725" s="23"/>
      <c r="S725" s="23"/>
      <c r="T725" s="23"/>
      <c r="U725" s="23"/>
      <c r="V725" s="96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</row>
    <row r="726" spans="1:40" ht="15.7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96"/>
      <c r="N726" s="23"/>
      <c r="O726" s="23"/>
      <c r="P726" s="23"/>
      <c r="Q726" s="23"/>
      <c r="R726" s="23"/>
      <c r="S726" s="23"/>
      <c r="T726" s="23"/>
      <c r="U726" s="23"/>
      <c r="V726" s="96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</row>
    <row r="727" spans="1:40" ht="15.7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96"/>
      <c r="N727" s="23"/>
      <c r="O727" s="23"/>
      <c r="P727" s="23"/>
      <c r="Q727" s="23"/>
      <c r="R727" s="23"/>
      <c r="S727" s="23"/>
      <c r="T727" s="23"/>
      <c r="U727" s="23"/>
      <c r="V727" s="96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</row>
    <row r="728" spans="1:40" ht="15.7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96"/>
      <c r="N728" s="23"/>
      <c r="O728" s="23"/>
      <c r="P728" s="23"/>
      <c r="Q728" s="23"/>
      <c r="R728" s="23"/>
      <c r="S728" s="23"/>
      <c r="T728" s="23"/>
      <c r="U728" s="23"/>
      <c r="V728" s="96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</row>
    <row r="729" spans="1:40" ht="15.7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96"/>
      <c r="N729" s="23"/>
      <c r="O729" s="23"/>
      <c r="P729" s="23"/>
      <c r="Q729" s="23"/>
      <c r="R729" s="23"/>
      <c r="S729" s="23"/>
      <c r="T729" s="23"/>
      <c r="U729" s="23"/>
      <c r="V729" s="96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</row>
    <row r="730" spans="1:40" ht="15.7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96"/>
      <c r="N730" s="23"/>
      <c r="O730" s="23"/>
      <c r="P730" s="23"/>
      <c r="Q730" s="23"/>
      <c r="R730" s="23"/>
      <c r="S730" s="23"/>
      <c r="T730" s="23"/>
      <c r="U730" s="23"/>
      <c r="V730" s="96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</row>
    <row r="731" spans="1:40" ht="15.7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96"/>
      <c r="N731" s="23"/>
      <c r="O731" s="23"/>
      <c r="P731" s="23"/>
      <c r="Q731" s="23"/>
      <c r="R731" s="23"/>
      <c r="S731" s="23"/>
      <c r="T731" s="23"/>
      <c r="U731" s="23"/>
      <c r="V731" s="96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</row>
    <row r="732" spans="1:40" ht="15.7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96"/>
      <c r="N732" s="23"/>
      <c r="O732" s="23"/>
      <c r="P732" s="23"/>
      <c r="Q732" s="23"/>
      <c r="R732" s="23"/>
      <c r="S732" s="23"/>
      <c r="T732" s="23"/>
      <c r="U732" s="23"/>
      <c r="V732" s="96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</row>
    <row r="733" spans="1:40" ht="15.7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96"/>
      <c r="N733" s="23"/>
      <c r="O733" s="23"/>
      <c r="P733" s="23"/>
      <c r="Q733" s="23"/>
      <c r="R733" s="23"/>
      <c r="S733" s="23"/>
      <c r="T733" s="23"/>
      <c r="U733" s="23"/>
      <c r="V733" s="96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</row>
    <row r="734" spans="1:40" ht="15.7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96"/>
      <c r="N734" s="23"/>
      <c r="O734" s="23"/>
      <c r="P734" s="23"/>
      <c r="Q734" s="23"/>
      <c r="R734" s="23"/>
      <c r="S734" s="23"/>
      <c r="T734" s="23"/>
      <c r="U734" s="23"/>
      <c r="V734" s="96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</row>
    <row r="735" spans="1:40" ht="15.7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96"/>
      <c r="N735" s="23"/>
      <c r="O735" s="23"/>
      <c r="P735" s="23"/>
      <c r="Q735" s="23"/>
      <c r="R735" s="23"/>
      <c r="S735" s="23"/>
      <c r="T735" s="23"/>
      <c r="U735" s="23"/>
      <c r="V735" s="96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</row>
    <row r="736" spans="1:40" ht="15.7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96"/>
      <c r="N736" s="23"/>
      <c r="O736" s="23"/>
      <c r="P736" s="23"/>
      <c r="Q736" s="23"/>
      <c r="R736" s="23"/>
      <c r="S736" s="23"/>
      <c r="T736" s="23"/>
      <c r="U736" s="23"/>
      <c r="V736" s="96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</row>
    <row r="737" spans="1:40" ht="15.7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96"/>
      <c r="N737" s="23"/>
      <c r="O737" s="23"/>
      <c r="P737" s="23"/>
      <c r="Q737" s="23"/>
      <c r="R737" s="23"/>
      <c r="S737" s="23"/>
      <c r="T737" s="23"/>
      <c r="U737" s="23"/>
      <c r="V737" s="96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</row>
    <row r="738" spans="1:40" ht="15.7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96"/>
      <c r="N738" s="23"/>
      <c r="O738" s="23"/>
      <c r="P738" s="23"/>
      <c r="Q738" s="23"/>
      <c r="R738" s="23"/>
      <c r="S738" s="23"/>
      <c r="T738" s="23"/>
      <c r="U738" s="23"/>
      <c r="V738" s="96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</row>
    <row r="739" spans="1:40" ht="15.7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96"/>
      <c r="N739" s="23"/>
      <c r="O739" s="23"/>
      <c r="P739" s="23"/>
      <c r="Q739" s="23"/>
      <c r="R739" s="23"/>
      <c r="S739" s="23"/>
      <c r="T739" s="23"/>
      <c r="U739" s="23"/>
      <c r="V739" s="96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</row>
    <row r="740" spans="1:40" ht="15.7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96"/>
      <c r="N740" s="23"/>
      <c r="O740" s="23"/>
      <c r="P740" s="23"/>
      <c r="Q740" s="23"/>
      <c r="R740" s="23"/>
      <c r="S740" s="23"/>
      <c r="T740" s="23"/>
      <c r="U740" s="23"/>
      <c r="V740" s="96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</row>
    <row r="741" spans="1:40" ht="15.7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96"/>
      <c r="N741" s="23"/>
      <c r="O741" s="23"/>
      <c r="P741" s="23"/>
      <c r="Q741" s="23"/>
      <c r="R741" s="23"/>
      <c r="S741" s="23"/>
      <c r="T741" s="23"/>
      <c r="U741" s="23"/>
      <c r="V741" s="96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</row>
    <row r="742" spans="1:40" ht="15.7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96"/>
      <c r="N742" s="23"/>
      <c r="O742" s="23"/>
      <c r="P742" s="23"/>
      <c r="Q742" s="23"/>
      <c r="R742" s="23"/>
      <c r="S742" s="23"/>
      <c r="T742" s="23"/>
      <c r="U742" s="23"/>
      <c r="V742" s="96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</row>
    <row r="743" spans="1:40" ht="15.7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96"/>
      <c r="N743" s="23"/>
      <c r="O743" s="23"/>
      <c r="P743" s="23"/>
      <c r="Q743" s="23"/>
      <c r="R743" s="23"/>
      <c r="S743" s="23"/>
      <c r="T743" s="23"/>
      <c r="U743" s="23"/>
      <c r="V743" s="96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</row>
    <row r="744" spans="1:40" ht="15.7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96"/>
      <c r="N744" s="23"/>
      <c r="O744" s="23"/>
      <c r="P744" s="23"/>
      <c r="Q744" s="23"/>
      <c r="R744" s="23"/>
      <c r="S744" s="23"/>
      <c r="T744" s="23"/>
      <c r="U744" s="23"/>
      <c r="V744" s="96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</row>
    <row r="745" spans="1:40" ht="15.7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96"/>
      <c r="N745" s="23"/>
      <c r="O745" s="23"/>
      <c r="P745" s="23"/>
      <c r="Q745" s="23"/>
      <c r="R745" s="23"/>
      <c r="S745" s="23"/>
      <c r="T745" s="23"/>
      <c r="U745" s="23"/>
      <c r="V745" s="96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</row>
    <row r="746" spans="1:40" ht="15.7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96"/>
      <c r="N746" s="23"/>
      <c r="O746" s="23"/>
      <c r="P746" s="23"/>
      <c r="Q746" s="23"/>
      <c r="R746" s="23"/>
      <c r="S746" s="23"/>
      <c r="T746" s="23"/>
      <c r="U746" s="23"/>
      <c r="V746" s="96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</row>
    <row r="747" spans="1:40" ht="15.7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96"/>
      <c r="N747" s="23"/>
      <c r="O747" s="23"/>
      <c r="P747" s="23"/>
      <c r="Q747" s="23"/>
      <c r="R747" s="23"/>
      <c r="S747" s="23"/>
      <c r="T747" s="23"/>
      <c r="U747" s="23"/>
      <c r="V747" s="96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</row>
    <row r="748" spans="1:40" ht="15.7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96"/>
      <c r="N748" s="23"/>
      <c r="O748" s="23"/>
      <c r="P748" s="23"/>
      <c r="Q748" s="23"/>
      <c r="R748" s="23"/>
      <c r="S748" s="23"/>
      <c r="T748" s="23"/>
      <c r="U748" s="23"/>
      <c r="V748" s="96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</row>
    <row r="749" spans="1:40" ht="15.7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96"/>
      <c r="N749" s="23"/>
      <c r="O749" s="23"/>
      <c r="P749" s="23"/>
      <c r="Q749" s="23"/>
      <c r="R749" s="23"/>
      <c r="S749" s="23"/>
      <c r="T749" s="23"/>
      <c r="U749" s="23"/>
      <c r="V749" s="96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</row>
    <row r="750" spans="1:40" ht="15.7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96"/>
      <c r="N750" s="23"/>
      <c r="O750" s="23"/>
      <c r="P750" s="23"/>
      <c r="Q750" s="23"/>
      <c r="R750" s="23"/>
      <c r="S750" s="23"/>
      <c r="T750" s="23"/>
      <c r="U750" s="23"/>
      <c r="V750" s="96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</row>
    <row r="751" spans="1:40" ht="15.7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96"/>
      <c r="N751" s="23"/>
      <c r="O751" s="23"/>
      <c r="P751" s="23"/>
      <c r="Q751" s="23"/>
      <c r="R751" s="23"/>
      <c r="S751" s="23"/>
      <c r="T751" s="23"/>
      <c r="U751" s="23"/>
      <c r="V751" s="96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</row>
    <row r="752" spans="1:40" ht="15.7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96"/>
      <c r="N752" s="23"/>
      <c r="O752" s="23"/>
      <c r="P752" s="23"/>
      <c r="Q752" s="23"/>
      <c r="R752" s="23"/>
      <c r="S752" s="23"/>
      <c r="T752" s="23"/>
      <c r="U752" s="23"/>
      <c r="V752" s="96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</row>
    <row r="753" spans="1:40" ht="15.7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96"/>
      <c r="N753" s="23"/>
      <c r="O753" s="23"/>
      <c r="P753" s="23"/>
      <c r="Q753" s="23"/>
      <c r="R753" s="23"/>
      <c r="S753" s="23"/>
      <c r="T753" s="23"/>
      <c r="U753" s="23"/>
      <c r="V753" s="96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</row>
    <row r="754" spans="1:40" ht="15.7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96"/>
      <c r="N754" s="23"/>
      <c r="O754" s="23"/>
      <c r="P754" s="23"/>
      <c r="Q754" s="23"/>
      <c r="R754" s="23"/>
      <c r="S754" s="23"/>
      <c r="T754" s="23"/>
      <c r="U754" s="23"/>
      <c r="V754" s="96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</row>
    <row r="755" spans="1:40" ht="15.7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96"/>
      <c r="N755" s="23"/>
      <c r="O755" s="23"/>
      <c r="P755" s="23"/>
      <c r="Q755" s="23"/>
      <c r="R755" s="23"/>
      <c r="S755" s="23"/>
      <c r="T755" s="23"/>
      <c r="U755" s="23"/>
      <c r="V755" s="96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</row>
    <row r="756" spans="1:40" ht="15.7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96"/>
      <c r="N756" s="23"/>
      <c r="O756" s="23"/>
      <c r="P756" s="23"/>
      <c r="Q756" s="23"/>
      <c r="R756" s="23"/>
      <c r="S756" s="23"/>
      <c r="T756" s="23"/>
      <c r="U756" s="23"/>
      <c r="V756" s="96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</row>
    <row r="757" spans="1:40" ht="15.7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96"/>
      <c r="N757" s="23"/>
      <c r="O757" s="23"/>
      <c r="P757" s="23"/>
      <c r="Q757" s="23"/>
      <c r="R757" s="23"/>
      <c r="S757" s="23"/>
      <c r="T757" s="23"/>
      <c r="U757" s="23"/>
      <c r="V757" s="96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</row>
    <row r="758" spans="1:40" ht="15.7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96"/>
      <c r="N758" s="23"/>
      <c r="O758" s="23"/>
      <c r="P758" s="23"/>
      <c r="Q758" s="23"/>
      <c r="R758" s="23"/>
      <c r="S758" s="23"/>
      <c r="T758" s="23"/>
      <c r="U758" s="23"/>
      <c r="V758" s="96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</row>
    <row r="759" spans="1:40" ht="15.7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96"/>
      <c r="N759" s="23"/>
      <c r="O759" s="23"/>
      <c r="P759" s="23"/>
      <c r="Q759" s="23"/>
      <c r="R759" s="23"/>
      <c r="S759" s="23"/>
      <c r="T759" s="23"/>
      <c r="U759" s="23"/>
      <c r="V759" s="96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</row>
    <row r="760" spans="1:40" ht="15.7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96"/>
      <c r="N760" s="23"/>
      <c r="O760" s="23"/>
      <c r="P760" s="23"/>
      <c r="Q760" s="23"/>
      <c r="R760" s="23"/>
      <c r="S760" s="23"/>
      <c r="T760" s="23"/>
      <c r="U760" s="23"/>
      <c r="V760" s="96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</row>
    <row r="761" spans="1:40" ht="15.7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96"/>
      <c r="N761" s="23"/>
      <c r="O761" s="23"/>
      <c r="P761" s="23"/>
      <c r="Q761" s="23"/>
      <c r="R761" s="23"/>
      <c r="S761" s="23"/>
      <c r="T761" s="23"/>
      <c r="U761" s="23"/>
      <c r="V761" s="96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</row>
    <row r="762" spans="1:40" ht="15.7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96"/>
      <c r="N762" s="23"/>
      <c r="O762" s="23"/>
      <c r="P762" s="23"/>
      <c r="Q762" s="23"/>
      <c r="R762" s="23"/>
      <c r="S762" s="23"/>
      <c r="T762" s="23"/>
      <c r="U762" s="23"/>
      <c r="V762" s="96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</row>
    <row r="763" spans="1:40" ht="15.7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96"/>
      <c r="N763" s="23"/>
      <c r="O763" s="23"/>
      <c r="P763" s="23"/>
      <c r="Q763" s="23"/>
      <c r="R763" s="23"/>
      <c r="S763" s="23"/>
      <c r="T763" s="23"/>
      <c r="U763" s="23"/>
      <c r="V763" s="96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</row>
    <row r="764" spans="1:40" ht="15.7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96"/>
      <c r="N764" s="23"/>
      <c r="O764" s="23"/>
      <c r="P764" s="23"/>
      <c r="Q764" s="23"/>
      <c r="R764" s="23"/>
      <c r="S764" s="23"/>
      <c r="T764" s="23"/>
      <c r="U764" s="23"/>
      <c r="V764" s="96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</row>
    <row r="765" spans="1:40" ht="15.7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96"/>
      <c r="N765" s="23"/>
      <c r="O765" s="23"/>
      <c r="P765" s="23"/>
      <c r="Q765" s="23"/>
      <c r="R765" s="23"/>
      <c r="S765" s="23"/>
      <c r="T765" s="23"/>
      <c r="U765" s="23"/>
      <c r="V765" s="96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</row>
    <row r="766" spans="1:40" ht="15.7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96"/>
      <c r="N766" s="23"/>
      <c r="O766" s="23"/>
      <c r="P766" s="23"/>
      <c r="Q766" s="23"/>
      <c r="R766" s="23"/>
      <c r="S766" s="23"/>
      <c r="T766" s="23"/>
      <c r="U766" s="23"/>
      <c r="V766" s="96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</row>
    <row r="767" spans="1:40" ht="15.7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96"/>
      <c r="N767" s="23"/>
      <c r="O767" s="23"/>
      <c r="P767" s="23"/>
      <c r="Q767" s="23"/>
      <c r="R767" s="23"/>
      <c r="S767" s="23"/>
      <c r="T767" s="23"/>
      <c r="U767" s="23"/>
      <c r="V767" s="96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</row>
    <row r="768" spans="1:40" ht="15.7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96"/>
      <c r="N768" s="23"/>
      <c r="O768" s="23"/>
      <c r="P768" s="23"/>
      <c r="Q768" s="23"/>
      <c r="R768" s="23"/>
      <c r="S768" s="23"/>
      <c r="T768" s="23"/>
      <c r="U768" s="23"/>
      <c r="V768" s="96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</row>
    <row r="769" spans="1:40" ht="15.7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96"/>
      <c r="N769" s="23"/>
      <c r="O769" s="23"/>
      <c r="P769" s="23"/>
      <c r="Q769" s="23"/>
      <c r="R769" s="23"/>
      <c r="S769" s="23"/>
      <c r="T769" s="23"/>
      <c r="U769" s="23"/>
      <c r="V769" s="96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</row>
    <row r="770" spans="1:40" ht="15.7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96"/>
      <c r="N770" s="23"/>
      <c r="O770" s="23"/>
      <c r="P770" s="23"/>
      <c r="Q770" s="23"/>
      <c r="R770" s="23"/>
      <c r="S770" s="23"/>
      <c r="T770" s="23"/>
      <c r="U770" s="23"/>
      <c r="V770" s="96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</row>
    <row r="771" spans="1:40" ht="15.7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96"/>
      <c r="N771" s="23"/>
      <c r="O771" s="23"/>
      <c r="P771" s="23"/>
      <c r="Q771" s="23"/>
      <c r="R771" s="23"/>
      <c r="S771" s="23"/>
      <c r="T771" s="23"/>
      <c r="U771" s="23"/>
      <c r="V771" s="96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</row>
    <row r="772" spans="1:40" ht="15.7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96"/>
      <c r="N772" s="23"/>
      <c r="O772" s="23"/>
      <c r="P772" s="23"/>
      <c r="Q772" s="23"/>
      <c r="R772" s="23"/>
      <c r="S772" s="23"/>
      <c r="T772" s="23"/>
      <c r="U772" s="23"/>
      <c r="V772" s="96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</row>
    <row r="773" spans="1:40" ht="15.7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96"/>
      <c r="N773" s="23"/>
      <c r="O773" s="23"/>
      <c r="P773" s="23"/>
      <c r="Q773" s="23"/>
      <c r="R773" s="23"/>
      <c r="S773" s="23"/>
      <c r="T773" s="23"/>
      <c r="U773" s="23"/>
      <c r="V773" s="96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</row>
    <row r="774" spans="1:40" ht="15.7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96"/>
      <c r="N774" s="23"/>
      <c r="O774" s="23"/>
      <c r="P774" s="23"/>
      <c r="Q774" s="23"/>
      <c r="R774" s="23"/>
      <c r="S774" s="23"/>
      <c r="T774" s="23"/>
      <c r="U774" s="23"/>
      <c r="V774" s="96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</row>
    <row r="775" spans="1:40" ht="15.7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96"/>
      <c r="N775" s="23"/>
      <c r="O775" s="23"/>
      <c r="P775" s="23"/>
      <c r="Q775" s="23"/>
      <c r="R775" s="23"/>
      <c r="S775" s="23"/>
      <c r="T775" s="23"/>
      <c r="U775" s="23"/>
      <c r="V775" s="96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</row>
    <row r="776" spans="1:40" ht="15.7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96"/>
      <c r="N776" s="23"/>
      <c r="O776" s="23"/>
      <c r="P776" s="23"/>
      <c r="Q776" s="23"/>
      <c r="R776" s="23"/>
      <c r="S776" s="23"/>
      <c r="T776" s="23"/>
      <c r="U776" s="23"/>
      <c r="V776" s="96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</row>
    <row r="777" spans="1:40" ht="15.7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96"/>
      <c r="N777" s="23"/>
      <c r="O777" s="23"/>
      <c r="P777" s="23"/>
      <c r="Q777" s="23"/>
      <c r="R777" s="23"/>
      <c r="S777" s="23"/>
      <c r="T777" s="23"/>
      <c r="U777" s="23"/>
      <c r="V777" s="96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</row>
    <row r="778" spans="1:40" ht="15.7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96"/>
      <c r="N778" s="23"/>
      <c r="O778" s="23"/>
      <c r="P778" s="23"/>
      <c r="Q778" s="23"/>
      <c r="R778" s="23"/>
      <c r="S778" s="23"/>
      <c r="T778" s="23"/>
      <c r="U778" s="23"/>
      <c r="V778" s="96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</row>
    <row r="779" spans="1:40" ht="15.7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96"/>
      <c r="N779" s="23"/>
      <c r="O779" s="23"/>
      <c r="P779" s="23"/>
      <c r="Q779" s="23"/>
      <c r="R779" s="23"/>
      <c r="S779" s="23"/>
      <c r="T779" s="23"/>
      <c r="U779" s="23"/>
      <c r="V779" s="96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</row>
    <row r="780" spans="1:40" ht="15.7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96"/>
      <c r="N780" s="23"/>
      <c r="O780" s="23"/>
      <c r="P780" s="23"/>
      <c r="Q780" s="23"/>
      <c r="R780" s="23"/>
      <c r="S780" s="23"/>
      <c r="T780" s="23"/>
      <c r="U780" s="23"/>
      <c r="V780" s="96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</row>
    <row r="781" spans="1:40" ht="15.7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96"/>
      <c r="N781" s="23"/>
      <c r="O781" s="23"/>
      <c r="P781" s="23"/>
      <c r="Q781" s="23"/>
      <c r="R781" s="23"/>
      <c r="S781" s="23"/>
      <c r="T781" s="23"/>
      <c r="U781" s="23"/>
      <c r="V781" s="96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</row>
    <row r="782" spans="1:40" ht="15.7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96"/>
      <c r="N782" s="23"/>
      <c r="O782" s="23"/>
      <c r="P782" s="23"/>
      <c r="Q782" s="23"/>
      <c r="R782" s="23"/>
      <c r="S782" s="23"/>
      <c r="T782" s="23"/>
      <c r="U782" s="23"/>
      <c r="V782" s="96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</row>
    <row r="783" spans="1:40" ht="15.7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96"/>
      <c r="N783" s="23"/>
      <c r="O783" s="23"/>
      <c r="P783" s="23"/>
      <c r="Q783" s="23"/>
      <c r="R783" s="23"/>
      <c r="S783" s="23"/>
      <c r="T783" s="23"/>
      <c r="U783" s="23"/>
      <c r="V783" s="96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</row>
    <row r="784" spans="1:40" ht="15.7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96"/>
      <c r="N784" s="23"/>
      <c r="O784" s="23"/>
      <c r="P784" s="23"/>
      <c r="Q784" s="23"/>
      <c r="R784" s="23"/>
      <c r="S784" s="23"/>
      <c r="T784" s="23"/>
      <c r="U784" s="23"/>
      <c r="V784" s="96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</row>
    <row r="785" spans="1:40" ht="15.7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96"/>
      <c r="N785" s="23"/>
      <c r="O785" s="23"/>
      <c r="P785" s="23"/>
      <c r="Q785" s="23"/>
      <c r="R785" s="23"/>
      <c r="S785" s="23"/>
      <c r="T785" s="23"/>
      <c r="U785" s="23"/>
      <c r="V785" s="96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</row>
    <row r="786" spans="1:40" ht="15.7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96"/>
      <c r="N786" s="23"/>
      <c r="O786" s="23"/>
      <c r="P786" s="23"/>
      <c r="Q786" s="23"/>
      <c r="R786" s="23"/>
      <c r="S786" s="23"/>
      <c r="T786" s="23"/>
      <c r="U786" s="23"/>
      <c r="V786" s="96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</row>
    <row r="787" spans="1:40" ht="15.7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96"/>
      <c r="N787" s="23"/>
      <c r="O787" s="23"/>
      <c r="P787" s="23"/>
      <c r="Q787" s="23"/>
      <c r="R787" s="23"/>
      <c r="S787" s="23"/>
      <c r="T787" s="23"/>
      <c r="U787" s="23"/>
      <c r="V787" s="96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</row>
    <row r="788" spans="1:40" ht="15.7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96"/>
      <c r="N788" s="23"/>
      <c r="O788" s="23"/>
      <c r="P788" s="23"/>
      <c r="Q788" s="23"/>
      <c r="R788" s="23"/>
      <c r="S788" s="23"/>
      <c r="T788" s="23"/>
      <c r="U788" s="23"/>
      <c r="V788" s="96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</row>
    <row r="789" spans="1:40" ht="15.7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96"/>
      <c r="N789" s="23"/>
      <c r="O789" s="23"/>
      <c r="P789" s="23"/>
      <c r="Q789" s="23"/>
      <c r="R789" s="23"/>
      <c r="S789" s="23"/>
      <c r="T789" s="23"/>
      <c r="U789" s="23"/>
      <c r="V789" s="96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</row>
    <row r="790" spans="1:40" ht="15.7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96"/>
      <c r="N790" s="23"/>
      <c r="O790" s="23"/>
      <c r="P790" s="23"/>
      <c r="Q790" s="23"/>
      <c r="R790" s="23"/>
      <c r="S790" s="23"/>
      <c r="T790" s="23"/>
      <c r="U790" s="23"/>
      <c r="V790" s="96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</row>
    <row r="791" spans="1:40" ht="15.7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96"/>
      <c r="N791" s="23"/>
      <c r="O791" s="23"/>
      <c r="P791" s="23"/>
      <c r="Q791" s="23"/>
      <c r="R791" s="23"/>
      <c r="S791" s="23"/>
      <c r="T791" s="23"/>
      <c r="U791" s="23"/>
      <c r="V791" s="96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</row>
    <row r="792" spans="1:40" ht="15.7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96"/>
      <c r="N792" s="23"/>
      <c r="O792" s="23"/>
      <c r="P792" s="23"/>
      <c r="Q792" s="23"/>
      <c r="R792" s="23"/>
      <c r="S792" s="23"/>
      <c r="T792" s="23"/>
      <c r="U792" s="23"/>
      <c r="V792" s="96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</row>
    <row r="793" spans="1:40" ht="15.7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96"/>
      <c r="N793" s="23"/>
      <c r="O793" s="23"/>
      <c r="P793" s="23"/>
      <c r="Q793" s="23"/>
      <c r="R793" s="23"/>
      <c r="S793" s="23"/>
      <c r="T793" s="23"/>
      <c r="U793" s="23"/>
      <c r="V793" s="96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</row>
    <row r="794" spans="1:40" ht="15.7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96"/>
      <c r="N794" s="23"/>
      <c r="O794" s="23"/>
      <c r="P794" s="23"/>
      <c r="Q794" s="23"/>
      <c r="R794" s="23"/>
      <c r="S794" s="23"/>
      <c r="T794" s="23"/>
      <c r="U794" s="23"/>
      <c r="V794" s="96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</row>
    <row r="795" spans="1:40" ht="15.7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96"/>
      <c r="N795" s="23"/>
      <c r="O795" s="23"/>
      <c r="P795" s="23"/>
      <c r="Q795" s="23"/>
      <c r="R795" s="23"/>
      <c r="S795" s="23"/>
      <c r="T795" s="23"/>
      <c r="U795" s="23"/>
      <c r="V795" s="96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</row>
    <row r="796" spans="1:40" ht="15.7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96"/>
      <c r="N796" s="23"/>
      <c r="O796" s="23"/>
      <c r="P796" s="23"/>
      <c r="Q796" s="23"/>
      <c r="R796" s="23"/>
      <c r="S796" s="23"/>
      <c r="T796" s="23"/>
      <c r="U796" s="23"/>
      <c r="V796" s="96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</row>
    <row r="797" spans="1:40" ht="15.7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96"/>
      <c r="N797" s="23"/>
      <c r="O797" s="23"/>
      <c r="P797" s="23"/>
      <c r="Q797" s="23"/>
      <c r="R797" s="23"/>
      <c r="S797" s="23"/>
      <c r="T797" s="23"/>
      <c r="U797" s="23"/>
      <c r="V797" s="96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</row>
    <row r="798" spans="1:40" ht="15.7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96"/>
      <c r="N798" s="23"/>
      <c r="O798" s="23"/>
      <c r="P798" s="23"/>
      <c r="Q798" s="23"/>
      <c r="R798" s="23"/>
      <c r="S798" s="23"/>
      <c r="T798" s="23"/>
      <c r="U798" s="23"/>
      <c r="V798" s="96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</row>
    <row r="799" spans="1:40" ht="15.7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96"/>
      <c r="N799" s="23"/>
      <c r="O799" s="23"/>
      <c r="P799" s="23"/>
      <c r="Q799" s="23"/>
      <c r="R799" s="23"/>
      <c r="S799" s="23"/>
      <c r="T799" s="23"/>
      <c r="U799" s="23"/>
      <c r="V799" s="96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</row>
    <row r="800" spans="1:40" ht="15.7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96"/>
      <c r="N800" s="23"/>
      <c r="O800" s="23"/>
      <c r="P800" s="23"/>
      <c r="Q800" s="23"/>
      <c r="R800" s="23"/>
      <c r="S800" s="23"/>
      <c r="T800" s="23"/>
      <c r="U800" s="23"/>
      <c r="V800" s="96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</row>
    <row r="801" spans="1:40" ht="15.7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96"/>
      <c r="N801" s="23"/>
      <c r="O801" s="23"/>
      <c r="P801" s="23"/>
      <c r="Q801" s="23"/>
      <c r="R801" s="23"/>
      <c r="S801" s="23"/>
      <c r="T801" s="23"/>
      <c r="U801" s="23"/>
      <c r="V801" s="96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</row>
    <row r="802" spans="1:40" ht="15.7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96"/>
      <c r="N802" s="23"/>
      <c r="O802" s="23"/>
      <c r="P802" s="23"/>
      <c r="Q802" s="23"/>
      <c r="R802" s="23"/>
      <c r="S802" s="23"/>
      <c r="T802" s="23"/>
      <c r="U802" s="23"/>
      <c r="V802" s="96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</row>
    <row r="803" spans="1:40" ht="15.7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96"/>
      <c r="N803" s="23"/>
      <c r="O803" s="23"/>
      <c r="P803" s="23"/>
      <c r="Q803" s="23"/>
      <c r="R803" s="23"/>
      <c r="S803" s="23"/>
      <c r="T803" s="23"/>
      <c r="U803" s="23"/>
      <c r="V803" s="96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</row>
    <row r="804" spans="1:40" ht="15.7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96"/>
      <c r="N804" s="23"/>
      <c r="O804" s="23"/>
      <c r="P804" s="23"/>
      <c r="Q804" s="23"/>
      <c r="R804" s="23"/>
      <c r="S804" s="23"/>
      <c r="T804" s="23"/>
      <c r="U804" s="23"/>
      <c r="V804" s="96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</row>
    <row r="805" spans="1:40" ht="15.7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96"/>
      <c r="N805" s="23"/>
      <c r="O805" s="23"/>
      <c r="P805" s="23"/>
      <c r="Q805" s="23"/>
      <c r="R805" s="23"/>
      <c r="S805" s="23"/>
      <c r="T805" s="23"/>
      <c r="U805" s="23"/>
      <c r="V805" s="96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</row>
    <row r="806" spans="1:40" ht="15.7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96"/>
      <c r="N806" s="23"/>
      <c r="O806" s="23"/>
      <c r="P806" s="23"/>
      <c r="Q806" s="23"/>
      <c r="R806" s="23"/>
      <c r="S806" s="23"/>
      <c r="T806" s="23"/>
      <c r="U806" s="23"/>
      <c r="V806" s="96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</row>
    <row r="807" spans="1:40" ht="15.7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96"/>
      <c r="N807" s="23"/>
      <c r="O807" s="23"/>
      <c r="P807" s="23"/>
      <c r="Q807" s="23"/>
      <c r="R807" s="23"/>
      <c r="S807" s="23"/>
      <c r="T807" s="23"/>
      <c r="U807" s="23"/>
      <c r="V807" s="96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</row>
    <row r="808" spans="1:40" ht="15.7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96"/>
      <c r="N808" s="23"/>
      <c r="O808" s="23"/>
      <c r="P808" s="23"/>
      <c r="Q808" s="23"/>
      <c r="R808" s="23"/>
      <c r="S808" s="23"/>
      <c r="T808" s="23"/>
      <c r="U808" s="23"/>
      <c r="V808" s="96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</row>
    <row r="809" spans="1:40" ht="15.7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96"/>
      <c r="N809" s="23"/>
      <c r="O809" s="23"/>
      <c r="P809" s="23"/>
      <c r="Q809" s="23"/>
      <c r="R809" s="23"/>
      <c r="S809" s="23"/>
      <c r="T809" s="23"/>
      <c r="U809" s="23"/>
      <c r="V809" s="96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</row>
    <row r="810" spans="1:40" ht="15.7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96"/>
      <c r="N810" s="23"/>
      <c r="O810" s="23"/>
      <c r="P810" s="23"/>
      <c r="Q810" s="23"/>
      <c r="R810" s="23"/>
      <c r="S810" s="23"/>
      <c r="T810" s="23"/>
      <c r="U810" s="23"/>
      <c r="V810" s="96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</row>
    <row r="811" spans="1:40" ht="15.7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96"/>
      <c r="N811" s="23"/>
      <c r="O811" s="23"/>
      <c r="P811" s="23"/>
      <c r="Q811" s="23"/>
      <c r="R811" s="23"/>
      <c r="S811" s="23"/>
      <c r="T811" s="23"/>
      <c r="U811" s="23"/>
      <c r="V811" s="96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</row>
    <row r="812" spans="1:40" ht="15.7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96"/>
      <c r="N812" s="23"/>
      <c r="O812" s="23"/>
      <c r="P812" s="23"/>
      <c r="Q812" s="23"/>
      <c r="R812" s="23"/>
      <c r="S812" s="23"/>
      <c r="T812" s="23"/>
      <c r="U812" s="23"/>
      <c r="V812" s="96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</row>
    <row r="813" spans="1:40" ht="15.7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96"/>
      <c r="N813" s="23"/>
      <c r="O813" s="23"/>
      <c r="P813" s="23"/>
      <c r="Q813" s="23"/>
      <c r="R813" s="23"/>
      <c r="S813" s="23"/>
      <c r="T813" s="23"/>
      <c r="U813" s="23"/>
      <c r="V813" s="96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</row>
    <row r="814" spans="1:40" ht="15.7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96"/>
      <c r="N814" s="23"/>
      <c r="O814" s="23"/>
      <c r="P814" s="23"/>
      <c r="Q814" s="23"/>
      <c r="R814" s="23"/>
      <c r="S814" s="23"/>
      <c r="T814" s="23"/>
      <c r="U814" s="23"/>
      <c r="V814" s="96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</row>
    <row r="815" spans="1:40" ht="15.7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96"/>
      <c r="N815" s="23"/>
      <c r="O815" s="23"/>
      <c r="P815" s="23"/>
      <c r="Q815" s="23"/>
      <c r="R815" s="23"/>
      <c r="S815" s="23"/>
      <c r="T815" s="23"/>
      <c r="U815" s="23"/>
      <c r="V815" s="96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</row>
    <row r="816" spans="1:40" ht="15.7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96"/>
      <c r="N816" s="23"/>
      <c r="O816" s="23"/>
      <c r="P816" s="23"/>
      <c r="Q816" s="23"/>
      <c r="R816" s="23"/>
      <c r="S816" s="23"/>
      <c r="T816" s="23"/>
      <c r="U816" s="23"/>
      <c r="V816" s="96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</row>
    <row r="817" spans="1:40" ht="15.7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96"/>
      <c r="N817" s="23"/>
      <c r="O817" s="23"/>
      <c r="P817" s="23"/>
      <c r="Q817" s="23"/>
      <c r="R817" s="23"/>
      <c r="S817" s="23"/>
      <c r="T817" s="23"/>
      <c r="U817" s="23"/>
      <c r="V817" s="96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</row>
    <row r="818" spans="1:40" ht="15.7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96"/>
      <c r="N818" s="23"/>
      <c r="O818" s="23"/>
      <c r="P818" s="23"/>
      <c r="Q818" s="23"/>
      <c r="R818" s="23"/>
      <c r="S818" s="23"/>
      <c r="T818" s="23"/>
      <c r="U818" s="23"/>
      <c r="V818" s="96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</row>
    <row r="819" spans="1:40" ht="15.7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96"/>
      <c r="N819" s="23"/>
      <c r="O819" s="23"/>
      <c r="P819" s="23"/>
      <c r="Q819" s="23"/>
      <c r="R819" s="23"/>
      <c r="S819" s="23"/>
      <c r="T819" s="23"/>
      <c r="U819" s="23"/>
      <c r="V819" s="96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</row>
    <row r="820" spans="1:40" ht="15.7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96"/>
      <c r="N820" s="23"/>
      <c r="O820" s="23"/>
      <c r="P820" s="23"/>
      <c r="Q820" s="23"/>
      <c r="R820" s="23"/>
      <c r="S820" s="23"/>
      <c r="T820" s="23"/>
      <c r="U820" s="23"/>
      <c r="V820" s="96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</row>
    <row r="821" spans="1:40" ht="15.7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96"/>
      <c r="N821" s="23"/>
      <c r="O821" s="23"/>
      <c r="P821" s="23"/>
      <c r="Q821" s="23"/>
      <c r="R821" s="23"/>
      <c r="S821" s="23"/>
      <c r="T821" s="23"/>
      <c r="U821" s="23"/>
      <c r="V821" s="96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</row>
    <row r="822" spans="1:40" ht="15.7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96"/>
      <c r="N822" s="23"/>
      <c r="O822" s="23"/>
      <c r="P822" s="23"/>
      <c r="Q822" s="23"/>
      <c r="R822" s="23"/>
      <c r="S822" s="23"/>
      <c r="T822" s="23"/>
      <c r="U822" s="23"/>
      <c r="V822" s="96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</row>
    <row r="823" spans="1:40" ht="15.7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96"/>
      <c r="N823" s="23"/>
      <c r="O823" s="23"/>
      <c r="P823" s="23"/>
      <c r="Q823" s="23"/>
      <c r="R823" s="23"/>
      <c r="S823" s="23"/>
      <c r="T823" s="23"/>
      <c r="U823" s="23"/>
      <c r="V823" s="96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</row>
    <row r="824" spans="1:40" ht="15.7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96"/>
      <c r="N824" s="23"/>
      <c r="O824" s="23"/>
      <c r="P824" s="23"/>
      <c r="Q824" s="23"/>
      <c r="R824" s="23"/>
      <c r="S824" s="23"/>
      <c r="T824" s="23"/>
      <c r="U824" s="23"/>
      <c r="V824" s="96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</row>
    <row r="825" spans="1:40" ht="15.7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96"/>
      <c r="N825" s="23"/>
      <c r="O825" s="23"/>
      <c r="P825" s="23"/>
      <c r="Q825" s="23"/>
      <c r="R825" s="23"/>
      <c r="S825" s="23"/>
      <c r="T825" s="23"/>
      <c r="U825" s="23"/>
      <c r="V825" s="96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</row>
    <row r="826" spans="1:40" ht="15.7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96"/>
      <c r="N826" s="23"/>
      <c r="O826" s="23"/>
      <c r="P826" s="23"/>
      <c r="Q826" s="23"/>
      <c r="R826" s="23"/>
      <c r="S826" s="23"/>
      <c r="T826" s="23"/>
      <c r="U826" s="23"/>
      <c r="V826" s="96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</row>
    <row r="827" spans="1:40" ht="15.7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96"/>
      <c r="N827" s="23"/>
      <c r="O827" s="23"/>
      <c r="P827" s="23"/>
      <c r="Q827" s="23"/>
      <c r="R827" s="23"/>
      <c r="S827" s="23"/>
      <c r="T827" s="23"/>
      <c r="U827" s="23"/>
      <c r="V827" s="96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</row>
    <row r="828" spans="1:40" ht="15.7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96"/>
      <c r="N828" s="23"/>
      <c r="O828" s="23"/>
      <c r="P828" s="23"/>
      <c r="Q828" s="23"/>
      <c r="R828" s="23"/>
      <c r="S828" s="23"/>
      <c r="T828" s="23"/>
      <c r="U828" s="23"/>
      <c r="V828" s="96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</row>
    <row r="829" spans="1:40" ht="15.7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96"/>
      <c r="N829" s="23"/>
      <c r="O829" s="23"/>
      <c r="P829" s="23"/>
      <c r="Q829" s="23"/>
      <c r="R829" s="23"/>
      <c r="S829" s="23"/>
      <c r="T829" s="23"/>
      <c r="U829" s="23"/>
      <c r="V829" s="96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</row>
    <row r="830" spans="1:40" ht="15.7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96"/>
      <c r="N830" s="23"/>
      <c r="O830" s="23"/>
      <c r="P830" s="23"/>
      <c r="Q830" s="23"/>
      <c r="R830" s="23"/>
      <c r="S830" s="23"/>
      <c r="T830" s="23"/>
      <c r="U830" s="23"/>
      <c r="V830" s="96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</row>
    <row r="831" spans="1:40" ht="15.7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96"/>
      <c r="N831" s="23"/>
      <c r="O831" s="23"/>
      <c r="P831" s="23"/>
      <c r="Q831" s="23"/>
      <c r="R831" s="23"/>
      <c r="S831" s="23"/>
      <c r="T831" s="23"/>
      <c r="U831" s="23"/>
      <c r="V831" s="96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</row>
    <row r="832" spans="1:40" ht="15.7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96"/>
      <c r="N832" s="23"/>
      <c r="O832" s="23"/>
      <c r="P832" s="23"/>
      <c r="Q832" s="23"/>
      <c r="R832" s="23"/>
      <c r="S832" s="23"/>
      <c r="T832" s="23"/>
      <c r="U832" s="23"/>
      <c r="V832" s="96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</row>
    <row r="833" spans="1:40" ht="15.7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96"/>
      <c r="N833" s="23"/>
      <c r="O833" s="23"/>
      <c r="P833" s="23"/>
      <c r="Q833" s="23"/>
      <c r="R833" s="23"/>
      <c r="S833" s="23"/>
      <c r="T833" s="23"/>
      <c r="U833" s="23"/>
      <c r="V833" s="96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</row>
    <row r="834" spans="1:40" ht="15.7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96"/>
      <c r="N834" s="23"/>
      <c r="O834" s="23"/>
      <c r="P834" s="23"/>
      <c r="Q834" s="23"/>
      <c r="R834" s="23"/>
      <c r="S834" s="23"/>
      <c r="T834" s="23"/>
      <c r="U834" s="23"/>
      <c r="V834" s="96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</row>
    <row r="835" spans="1:40" ht="15.7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96"/>
      <c r="N835" s="23"/>
      <c r="O835" s="23"/>
      <c r="P835" s="23"/>
      <c r="Q835" s="23"/>
      <c r="R835" s="23"/>
      <c r="S835" s="23"/>
      <c r="T835" s="23"/>
      <c r="U835" s="23"/>
      <c r="V835" s="96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</row>
    <row r="836" spans="1:40" ht="15.7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96"/>
      <c r="N836" s="23"/>
      <c r="O836" s="23"/>
      <c r="P836" s="23"/>
      <c r="Q836" s="23"/>
      <c r="R836" s="23"/>
      <c r="S836" s="23"/>
      <c r="T836" s="23"/>
      <c r="U836" s="23"/>
      <c r="V836" s="96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</row>
    <row r="837" spans="1:40" ht="15.7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96"/>
      <c r="N837" s="23"/>
      <c r="O837" s="23"/>
      <c r="P837" s="23"/>
      <c r="Q837" s="23"/>
      <c r="R837" s="23"/>
      <c r="S837" s="23"/>
      <c r="T837" s="23"/>
      <c r="U837" s="23"/>
      <c r="V837" s="96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</row>
    <row r="838" spans="1:40" ht="15.7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96"/>
      <c r="N838" s="23"/>
      <c r="O838" s="23"/>
      <c r="P838" s="23"/>
      <c r="Q838" s="23"/>
      <c r="R838" s="23"/>
      <c r="S838" s="23"/>
      <c r="T838" s="23"/>
      <c r="U838" s="23"/>
      <c r="V838" s="96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</row>
    <row r="839" spans="1:40" ht="15.7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96"/>
      <c r="N839" s="23"/>
      <c r="O839" s="23"/>
      <c r="P839" s="23"/>
      <c r="Q839" s="23"/>
      <c r="R839" s="23"/>
      <c r="S839" s="23"/>
      <c r="T839" s="23"/>
      <c r="U839" s="23"/>
      <c r="V839" s="96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</row>
    <row r="840" spans="1:40" ht="15.7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96"/>
      <c r="N840" s="23"/>
      <c r="O840" s="23"/>
      <c r="P840" s="23"/>
      <c r="Q840" s="23"/>
      <c r="R840" s="23"/>
      <c r="S840" s="23"/>
      <c r="T840" s="23"/>
      <c r="U840" s="23"/>
      <c r="V840" s="96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</row>
    <row r="841" spans="1:40" ht="15.7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96"/>
      <c r="N841" s="23"/>
      <c r="O841" s="23"/>
      <c r="P841" s="23"/>
      <c r="Q841" s="23"/>
      <c r="R841" s="23"/>
      <c r="S841" s="23"/>
      <c r="T841" s="23"/>
      <c r="U841" s="23"/>
      <c r="V841" s="96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</row>
    <row r="842" spans="1:40" ht="15.7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96"/>
      <c r="N842" s="23"/>
      <c r="O842" s="23"/>
      <c r="P842" s="23"/>
      <c r="Q842" s="23"/>
      <c r="R842" s="23"/>
      <c r="S842" s="23"/>
      <c r="T842" s="23"/>
      <c r="U842" s="23"/>
      <c r="V842" s="96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</row>
    <row r="843" spans="1:40" ht="15.7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96"/>
      <c r="N843" s="23"/>
      <c r="O843" s="23"/>
      <c r="P843" s="23"/>
      <c r="Q843" s="23"/>
      <c r="R843" s="23"/>
      <c r="S843" s="23"/>
      <c r="T843" s="23"/>
      <c r="U843" s="23"/>
      <c r="V843" s="96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</row>
    <row r="844" spans="1:40" ht="15.7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96"/>
      <c r="N844" s="23"/>
      <c r="O844" s="23"/>
      <c r="P844" s="23"/>
      <c r="Q844" s="23"/>
      <c r="R844" s="23"/>
      <c r="S844" s="23"/>
      <c r="T844" s="23"/>
      <c r="U844" s="23"/>
      <c r="V844" s="96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</row>
    <row r="845" spans="1:40" ht="15.7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96"/>
      <c r="N845" s="23"/>
      <c r="O845" s="23"/>
      <c r="P845" s="23"/>
      <c r="Q845" s="23"/>
      <c r="R845" s="23"/>
      <c r="S845" s="23"/>
      <c r="T845" s="23"/>
      <c r="U845" s="23"/>
      <c r="V845" s="96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</row>
    <row r="846" spans="1:40" ht="15.7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96"/>
      <c r="N846" s="23"/>
      <c r="O846" s="23"/>
      <c r="P846" s="23"/>
      <c r="Q846" s="23"/>
      <c r="R846" s="23"/>
      <c r="S846" s="23"/>
      <c r="T846" s="23"/>
      <c r="U846" s="23"/>
      <c r="V846" s="96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</row>
    <row r="847" spans="1:40" ht="15.7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96"/>
      <c r="N847" s="23"/>
      <c r="O847" s="23"/>
      <c r="P847" s="23"/>
      <c r="Q847" s="23"/>
      <c r="R847" s="23"/>
      <c r="S847" s="23"/>
      <c r="T847" s="23"/>
      <c r="U847" s="23"/>
      <c r="V847" s="96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</row>
    <row r="848" spans="1:40" ht="15.7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96"/>
      <c r="N848" s="23"/>
      <c r="O848" s="23"/>
      <c r="P848" s="23"/>
      <c r="Q848" s="23"/>
      <c r="R848" s="23"/>
      <c r="S848" s="23"/>
      <c r="T848" s="23"/>
      <c r="U848" s="23"/>
      <c r="V848" s="96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</row>
    <row r="849" spans="1:40" ht="15.7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96"/>
      <c r="N849" s="23"/>
      <c r="O849" s="23"/>
      <c r="P849" s="23"/>
      <c r="Q849" s="23"/>
      <c r="R849" s="23"/>
      <c r="S849" s="23"/>
      <c r="T849" s="23"/>
      <c r="U849" s="23"/>
      <c r="V849" s="96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</row>
    <row r="850" spans="1:40" ht="15.7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96"/>
      <c r="N850" s="23"/>
      <c r="O850" s="23"/>
      <c r="P850" s="23"/>
      <c r="Q850" s="23"/>
      <c r="R850" s="23"/>
      <c r="S850" s="23"/>
      <c r="T850" s="23"/>
      <c r="U850" s="23"/>
      <c r="V850" s="96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</row>
    <row r="851" spans="1:40" ht="15.7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96"/>
      <c r="N851" s="23"/>
      <c r="O851" s="23"/>
      <c r="P851" s="23"/>
      <c r="Q851" s="23"/>
      <c r="R851" s="23"/>
      <c r="S851" s="23"/>
      <c r="T851" s="23"/>
      <c r="U851" s="23"/>
      <c r="V851" s="96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</row>
    <row r="852" spans="1:40" ht="15.7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96"/>
      <c r="N852" s="23"/>
      <c r="O852" s="23"/>
      <c r="P852" s="23"/>
      <c r="Q852" s="23"/>
      <c r="R852" s="23"/>
      <c r="S852" s="23"/>
      <c r="T852" s="23"/>
      <c r="U852" s="23"/>
      <c r="V852" s="96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</row>
    <row r="853" spans="1:40" ht="15.7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96"/>
      <c r="N853" s="23"/>
      <c r="O853" s="23"/>
      <c r="P853" s="23"/>
      <c r="Q853" s="23"/>
      <c r="R853" s="23"/>
      <c r="S853" s="23"/>
      <c r="T853" s="23"/>
      <c r="U853" s="23"/>
      <c r="V853" s="96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</row>
    <row r="854" spans="1:40" ht="15.7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96"/>
      <c r="N854" s="23"/>
      <c r="O854" s="23"/>
      <c r="P854" s="23"/>
      <c r="Q854" s="23"/>
      <c r="R854" s="23"/>
      <c r="S854" s="23"/>
      <c r="T854" s="23"/>
      <c r="U854" s="23"/>
      <c r="V854" s="96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</row>
    <row r="855" spans="1:40" ht="15.7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96"/>
      <c r="N855" s="23"/>
      <c r="O855" s="23"/>
      <c r="P855" s="23"/>
      <c r="Q855" s="23"/>
      <c r="R855" s="23"/>
      <c r="S855" s="23"/>
      <c r="T855" s="23"/>
      <c r="U855" s="23"/>
      <c r="V855" s="96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</row>
    <row r="856" spans="1:40" ht="15.7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96"/>
      <c r="N856" s="23"/>
      <c r="O856" s="23"/>
      <c r="P856" s="23"/>
      <c r="Q856" s="23"/>
      <c r="R856" s="23"/>
      <c r="S856" s="23"/>
      <c r="T856" s="23"/>
      <c r="U856" s="23"/>
      <c r="V856" s="96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</row>
    <row r="857" spans="1:40" ht="15.7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96"/>
      <c r="N857" s="23"/>
      <c r="O857" s="23"/>
      <c r="P857" s="23"/>
      <c r="Q857" s="23"/>
      <c r="R857" s="23"/>
      <c r="S857" s="23"/>
      <c r="T857" s="23"/>
      <c r="U857" s="23"/>
      <c r="V857" s="96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</row>
    <row r="858" spans="1:40" ht="15.7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96"/>
      <c r="N858" s="23"/>
      <c r="O858" s="23"/>
      <c r="P858" s="23"/>
      <c r="Q858" s="23"/>
      <c r="R858" s="23"/>
      <c r="S858" s="23"/>
      <c r="T858" s="23"/>
      <c r="U858" s="23"/>
      <c r="V858" s="96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</row>
    <row r="859" spans="1:40" ht="15.7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96"/>
      <c r="N859" s="23"/>
      <c r="O859" s="23"/>
      <c r="P859" s="23"/>
      <c r="Q859" s="23"/>
      <c r="R859" s="23"/>
      <c r="S859" s="23"/>
      <c r="T859" s="23"/>
      <c r="U859" s="23"/>
      <c r="V859" s="96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</row>
    <row r="860" spans="1:40" ht="15.7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96"/>
      <c r="N860" s="23"/>
      <c r="O860" s="23"/>
      <c r="P860" s="23"/>
      <c r="Q860" s="23"/>
      <c r="R860" s="23"/>
      <c r="S860" s="23"/>
      <c r="T860" s="23"/>
      <c r="U860" s="23"/>
      <c r="V860" s="96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</row>
    <row r="861" spans="1:40" ht="15.7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96"/>
      <c r="N861" s="23"/>
      <c r="O861" s="23"/>
      <c r="P861" s="23"/>
      <c r="Q861" s="23"/>
      <c r="R861" s="23"/>
      <c r="S861" s="23"/>
      <c r="T861" s="23"/>
      <c r="U861" s="23"/>
      <c r="V861" s="96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</row>
    <row r="862" spans="1:40" ht="15.7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96"/>
      <c r="N862" s="23"/>
      <c r="O862" s="23"/>
      <c r="P862" s="23"/>
      <c r="Q862" s="23"/>
      <c r="R862" s="23"/>
      <c r="S862" s="23"/>
      <c r="T862" s="23"/>
      <c r="U862" s="23"/>
      <c r="V862" s="96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</row>
    <row r="863" spans="1:40" ht="15.7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96"/>
      <c r="N863" s="23"/>
      <c r="O863" s="23"/>
      <c r="P863" s="23"/>
      <c r="Q863" s="23"/>
      <c r="R863" s="23"/>
      <c r="S863" s="23"/>
      <c r="T863" s="23"/>
      <c r="U863" s="23"/>
      <c r="V863" s="96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</row>
    <row r="864" spans="1:40" ht="15.7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96"/>
      <c r="N864" s="23"/>
      <c r="O864" s="23"/>
      <c r="P864" s="23"/>
      <c r="Q864" s="23"/>
      <c r="R864" s="23"/>
      <c r="S864" s="23"/>
      <c r="T864" s="23"/>
      <c r="U864" s="23"/>
      <c r="V864" s="96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</row>
    <row r="865" spans="1:40" ht="15.7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96"/>
      <c r="N865" s="23"/>
      <c r="O865" s="23"/>
      <c r="P865" s="23"/>
      <c r="Q865" s="23"/>
      <c r="R865" s="23"/>
      <c r="S865" s="23"/>
      <c r="T865" s="23"/>
      <c r="U865" s="23"/>
      <c r="V865" s="96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</row>
    <row r="866" spans="1:40" ht="15.7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96"/>
      <c r="N866" s="23"/>
      <c r="O866" s="23"/>
      <c r="P866" s="23"/>
      <c r="Q866" s="23"/>
      <c r="R866" s="23"/>
      <c r="S866" s="23"/>
      <c r="T866" s="23"/>
      <c r="U866" s="23"/>
      <c r="V866" s="96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</row>
    <row r="867" spans="1:40" ht="15.7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96"/>
      <c r="N867" s="23"/>
      <c r="O867" s="23"/>
      <c r="P867" s="23"/>
      <c r="Q867" s="23"/>
      <c r="R867" s="23"/>
      <c r="S867" s="23"/>
      <c r="T867" s="23"/>
      <c r="U867" s="23"/>
      <c r="V867" s="96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</row>
    <row r="868" spans="1:40" ht="15.7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96"/>
      <c r="N868" s="23"/>
      <c r="O868" s="23"/>
      <c r="P868" s="23"/>
      <c r="Q868" s="23"/>
      <c r="R868" s="23"/>
      <c r="S868" s="23"/>
      <c r="T868" s="23"/>
      <c r="U868" s="23"/>
      <c r="V868" s="96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</row>
    <row r="869" spans="1:40" ht="15.7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96"/>
      <c r="N869" s="23"/>
      <c r="O869" s="23"/>
      <c r="P869" s="23"/>
      <c r="Q869" s="23"/>
      <c r="R869" s="23"/>
      <c r="S869" s="23"/>
      <c r="T869" s="23"/>
      <c r="U869" s="23"/>
      <c r="V869" s="96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</row>
    <row r="870" spans="1:40" ht="15.7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96"/>
      <c r="N870" s="23"/>
      <c r="O870" s="23"/>
      <c r="P870" s="23"/>
      <c r="Q870" s="23"/>
      <c r="R870" s="23"/>
      <c r="S870" s="23"/>
      <c r="T870" s="23"/>
      <c r="U870" s="23"/>
      <c r="V870" s="96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</row>
    <row r="871" spans="1:40" ht="15.7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96"/>
      <c r="N871" s="23"/>
      <c r="O871" s="23"/>
      <c r="P871" s="23"/>
      <c r="Q871" s="23"/>
      <c r="R871" s="23"/>
      <c r="S871" s="23"/>
      <c r="T871" s="23"/>
      <c r="U871" s="23"/>
      <c r="V871" s="96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</row>
    <row r="872" spans="1:40" ht="15.7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96"/>
      <c r="N872" s="23"/>
      <c r="O872" s="23"/>
      <c r="P872" s="23"/>
      <c r="Q872" s="23"/>
      <c r="R872" s="23"/>
      <c r="S872" s="23"/>
      <c r="T872" s="23"/>
      <c r="U872" s="23"/>
      <c r="V872" s="96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</row>
    <row r="873" spans="1:40" ht="15.7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96"/>
      <c r="N873" s="23"/>
      <c r="O873" s="23"/>
      <c r="P873" s="23"/>
      <c r="Q873" s="23"/>
      <c r="R873" s="23"/>
      <c r="S873" s="23"/>
      <c r="T873" s="23"/>
      <c r="U873" s="23"/>
      <c r="V873" s="96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</row>
    <row r="874" spans="1:40" ht="15.7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96"/>
      <c r="N874" s="23"/>
      <c r="O874" s="23"/>
      <c r="P874" s="23"/>
      <c r="Q874" s="23"/>
      <c r="R874" s="23"/>
      <c r="S874" s="23"/>
      <c r="T874" s="23"/>
      <c r="U874" s="23"/>
      <c r="V874" s="96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</row>
    <row r="875" spans="1:40" ht="15.7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96"/>
      <c r="N875" s="23"/>
      <c r="O875" s="23"/>
      <c r="P875" s="23"/>
      <c r="Q875" s="23"/>
      <c r="R875" s="23"/>
      <c r="S875" s="23"/>
      <c r="T875" s="23"/>
      <c r="U875" s="23"/>
      <c r="V875" s="96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</row>
    <row r="876" spans="1:40" ht="15.7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96"/>
      <c r="N876" s="23"/>
      <c r="O876" s="23"/>
      <c r="P876" s="23"/>
      <c r="Q876" s="23"/>
      <c r="R876" s="23"/>
      <c r="S876" s="23"/>
      <c r="T876" s="23"/>
      <c r="U876" s="23"/>
      <c r="V876" s="96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</row>
    <row r="877" spans="1:40" ht="15.7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96"/>
      <c r="N877" s="23"/>
      <c r="O877" s="23"/>
      <c r="P877" s="23"/>
      <c r="Q877" s="23"/>
      <c r="R877" s="23"/>
      <c r="S877" s="23"/>
      <c r="T877" s="23"/>
      <c r="U877" s="23"/>
      <c r="V877" s="96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</row>
    <row r="878" spans="1:40" ht="15.7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96"/>
      <c r="N878" s="23"/>
      <c r="O878" s="23"/>
      <c r="P878" s="23"/>
      <c r="Q878" s="23"/>
      <c r="R878" s="23"/>
      <c r="S878" s="23"/>
      <c r="T878" s="23"/>
      <c r="U878" s="23"/>
      <c r="V878" s="96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</row>
    <row r="879" spans="1:40" ht="15.7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96"/>
      <c r="N879" s="23"/>
      <c r="O879" s="23"/>
      <c r="P879" s="23"/>
      <c r="Q879" s="23"/>
      <c r="R879" s="23"/>
      <c r="S879" s="23"/>
      <c r="T879" s="23"/>
      <c r="U879" s="23"/>
      <c r="V879" s="96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</row>
    <row r="880" spans="1:40" ht="15.7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96"/>
      <c r="N880" s="23"/>
      <c r="O880" s="23"/>
      <c r="P880" s="23"/>
      <c r="Q880" s="23"/>
      <c r="R880" s="23"/>
      <c r="S880" s="23"/>
      <c r="T880" s="23"/>
      <c r="U880" s="23"/>
      <c r="V880" s="96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</row>
    <row r="881" spans="1:40" ht="15.7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96"/>
      <c r="N881" s="23"/>
      <c r="O881" s="23"/>
      <c r="P881" s="23"/>
      <c r="Q881" s="23"/>
      <c r="R881" s="23"/>
      <c r="S881" s="23"/>
      <c r="T881" s="23"/>
      <c r="U881" s="23"/>
      <c r="V881" s="96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</row>
    <row r="882" spans="1:40" ht="15.7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96"/>
      <c r="N882" s="23"/>
      <c r="O882" s="23"/>
      <c r="P882" s="23"/>
      <c r="Q882" s="23"/>
      <c r="R882" s="23"/>
      <c r="S882" s="23"/>
      <c r="T882" s="23"/>
      <c r="U882" s="23"/>
      <c r="V882" s="96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</row>
    <row r="883" spans="1:40" ht="15.7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96"/>
      <c r="N883" s="23"/>
      <c r="O883" s="23"/>
      <c r="P883" s="23"/>
      <c r="Q883" s="23"/>
      <c r="R883" s="23"/>
      <c r="S883" s="23"/>
      <c r="T883" s="23"/>
      <c r="U883" s="23"/>
      <c r="V883" s="96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</row>
    <row r="884" spans="1:40" ht="15.7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96"/>
      <c r="N884" s="23"/>
      <c r="O884" s="23"/>
      <c r="P884" s="23"/>
      <c r="Q884" s="23"/>
      <c r="R884" s="23"/>
      <c r="S884" s="23"/>
      <c r="T884" s="23"/>
      <c r="U884" s="23"/>
      <c r="V884" s="96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</row>
    <row r="885" spans="1:40" ht="15.7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96"/>
      <c r="N885" s="23"/>
      <c r="O885" s="23"/>
      <c r="P885" s="23"/>
      <c r="Q885" s="23"/>
      <c r="R885" s="23"/>
      <c r="S885" s="23"/>
      <c r="T885" s="23"/>
      <c r="U885" s="23"/>
      <c r="V885" s="96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</row>
    <row r="886" spans="1:40" ht="15.7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96"/>
      <c r="N886" s="23"/>
      <c r="O886" s="23"/>
      <c r="P886" s="23"/>
      <c r="Q886" s="23"/>
      <c r="R886" s="23"/>
      <c r="S886" s="23"/>
      <c r="T886" s="23"/>
      <c r="U886" s="23"/>
      <c r="V886" s="96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</row>
    <row r="887" spans="1:40" ht="15.7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96"/>
      <c r="N887" s="23"/>
      <c r="O887" s="23"/>
      <c r="P887" s="23"/>
      <c r="Q887" s="23"/>
      <c r="R887" s="23"/>
      <c r="S887" s="23"/>
      <c r="T887" s="23"/>
      <c r="U887" s="23"/>
      <c r="V887" s="96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</row>
    <row r="888" spans="1:40" ht="15.7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96"/>
      <c r="N888" s="23"/>
      <c r="O888" s="23"/>
      <c r="P888" s="23"/>
      <c r="Q888" s="23"/>
      <c r="R888" s="23"/>
      <c r="S888" s="23"/>
      <c r="T888" s="23"/>
      <c r="U888" s="23"/>
      <c r="V888" s="96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</row>
    <row r="889" spans="1:40" ht="15.7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96"/>
      <c r="N889" s="23"/>
      <c r="O889" s="23"/>
      <c r="P889" s="23"/>
      <c r="Q889" s="23"/>
      <c r="R889" s="23"/>
      <c r="S889" s="23"/>
      <c r="T889" s="23"/>
      <c r="U889" s="23"/>
      <c r="V889" s="96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</row>
    <row r="890" spans="1:40" ht="15.7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96"/>
      <c r="N890" s="23"/>
      <c r="O890" s="23"/>
      <c r="P890" s="23"/>
      <c r="Q890" s="23"/>
      <c r="R890" s="23"/>
      <c r="S890" s="23"/>
      <c r="T890" s="23"/>
      <c r="U890" s="23"/>
      <c r="V890" s="96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</row>
    <row r="891" spans="1:40" ht="15.7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96"/>
      <c r="N891" s="23"/>
      <c r="O891" s="23"/>
      <c r="P891" s="23"/>
      <c r="Q891" s="23"/>
      <c r="R891" s="23"/>
      <c r="S891" s="23"/>
      <c r="T891" s="23"/>
      <c r="U891" s="23"/>
      <c r="V891" s="96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</row>
    <row r="892" spans="1:40" ht="15.7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96"/>
      <c r="N892" s="23"/>
      <c r="O892" s="23"/>
      <c r="P892" s="23"/>
      <c r="Q892" s="23"/>
      <c r="R892" s="23"/>
      <c r="S892" s="23"/>
      <c r="T892" s="23"/>
      <c r="U892" s="23"/>
      <c r="V892" s="96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</row>
    <row r="893" spans="1:40" ht="15.7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96"/>
      <c r="N893" s="23"/>
      <c r="O893" s="23"/>
      <c r="P893" s="23"/>
      <c r="Q893" s="23"/>
      <c r="R893" s="23"/>
      <c r="S893" s="23"/>
      <c r="T893" s="23"/>
      <c r="U893" s="23"/>
      <c r="V893" s="96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</row>
    <row r="894" spans="1:40" ht="15.7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96"/>
      <c r="N894" s="23"/>
      <c r="O894" s="23"/>
      <c r="P894" s="23"/>
      <c r="Q894" s="23"/>
      <c r="R894" s="23"/>
      <c r="S894" s="23"/>
      <c r="T894" s="23"/>
      <c r="U894" s="23"/>
      <c r="V894" s="96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</row>
    <row r="895" spans="1:40" ht="15.7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96"/>
      <c r="N895" s="23"/>
      <c r="O895" s="23"/>
      <c r="P895" s="23"/>
      <c r="Q895" s="23"/>
      <c r="R895" s="23"/>
      <c r="S895" s="23"/>
      <c r="T895" s="23"/>
      <c r="U895" s="23"/>
      <c r="V895" s="96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</row>
    <row r="896" spans="1:40" ht="15.7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96"/>
      <c r="N896" s="23"/>
      <c r="O896" s="23"/>
      <c r="P896" s="23"/>
      <c r="Q896" s="23"/>
      <c r="R896" s="23"/>
      <c r="S896" s="23"/>
      <c r="T896" s="23"/>
      <c r="U896" s="23"/>
      <c r="V896" s="96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</row>
    <row r="897" spans="1:40" ht="15.7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96"/>
      <c r="N897" s="23"/>
      <c r="O897" s="23"/>
      <c r="P897" s="23"/>
      <c r="Q897" s="23"/>
      <c r="R897" s="23"/>
      <c r="S897" s="23"/>
      <c r="T897" s="23"/>
      <c r="U897" s="23"/>
      <c r="V897" s="96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</row>
    <row r="898" spans="1:40" ht="15.7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96"/>
      <c r="N898" s="23"/>
      <c r="O898" s="23"/>
      <c r="P898" s="23"/>
      <c r="Q898" s="23"/>
      <c r="R898" s="23"/>
      <c r="S898" s="23"/>
      <c r="T898" s="23"/>
      <c r="U898" s="23"/>
      <c r="V898" s="96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</row>
    <row r="899" spans="1:40" ht="15.7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96"/>
      <c r="N899" s="23"/>
      <c r="O899" s="23"/>
      <c r="P899" s="23"/>
      <c r="Q899" s="23"/>
      <c r="R899" s="23"/>
      <c r="S899" s="23"/>
      <c r="T899" s="23"/>
      <c r="U899" s="23"/>
      <c r="V899" s="96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</row>
    <row r="900" spans="1:40" ht="15.7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96"/>
      <c r="N900" s="23"/>
      <c r="O900" s="23"/>
      <c r="P900" s="23"/>
      <c r="Q900" s="23"/>
      <c r="R900" s="23"/>
      <c r="S900" s="23"/>
      <c r="T900" s="23"/>
      <c r="U900" s="23"/>
      <c r="V900" s="96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</row>
    <row r="901" spans="1:40" ht="15.7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96"/>
      <c r="N901" s="23"/>
      <c r="O901" s="23"/>
      <c r="P901" s="23"/>
      <c r="Q901" s="23"/>
      <c r="R901" s="23"/>
      <c r="S901" s="23"/>
      <c r="T901" s="23"/>
      <c r="U901" s="23"/>
      <c r="V901" s="96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</row>
    <row r="902" spans="1:40" ht="15.7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96"/>
      <c r="N902" s="23"/>
      <c r="O902" s="23"/>
      <c r="P902" s="23"/>
      <c r="Q902" s="23"/>
      <c r="R902" s="23"/>
      <c r="S902" s="23"/>
      <c r="T902" s="23"/>
      <c r="U902" s="23"/>
      <c r="V902" s="96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</row>
    <row r="903" spans="1:40" ht="15.7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96"/>
      <c r="N903" s="23"/>
      <c r="O903" s="23"/>
      <c r="P903" s="23"/>
      <c r="Q903" s="23"/>
      <c r="R903" s="23"/>
      <c r="S903" s="23"/>
      <c r="T903" s="23"/>
      <c r="U903" s="23"/>
      <c r="V903" s="96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</row>
    <row r="904" spans="1:40" ht="15.7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96"/>
      <c r="N904" s="23"/>
      <c r="O904" s="23"/>
      <c r="P904" s="23"/>
      <c r="Q904" s="23"/>
      <c r="R904" s="23"/>
      <c r="S904" s="23"/>
      <c r="T904" s="23"/>
      <c r="U904" s="23"/>
      <c r="V904" s="96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</row>
    <row r="905" spans="1:40" ht="15.7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96"/>
      <c r="N905" s="23"/>
      <c r="O905" s="23"/>
      <c r="P905" s="23"/>
      <c r="Q905" s="23"/>
      <c r="R905" s="23"/>
      <c r="S905" s="23"/>
      <c r="T905" s="23"/>
      <c r="U905" s="23"/>
      <c r="V905" s="96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</row>
    <row r="906" spans="1:40" ht="15.7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96"/>
      <c r="N906" s="23"/>
      <c r="O906" s="23"/>
      <c r="P906" s="23"/>
      <c r="Q906" s="23"/>
      <c r="R906" s="23"/>
      <c r="S906" s="23"/>
      <c r="T906" s="23"/>
      <c r="U906" s="23"/>
      <c r="V906" s="96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</row>
    <row r="907" spans="1:40" ht="15.7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96"/>
      <c r="N907" s="23"/>
      <c r="O907" s="23"/>
      <c r="P907" s="23"/>
      <c r="Q907" s="23"/>
      <c r="R907" s="23"/>
      <c r="S907" s="23"/>
      <c r="T907" s="23"/>
      <c r="U907" s="23"/>
      <c r="V907" s="96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</row>
    <row r="908" spans="1:40" ht="15.7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96"/>
      <c r="N908" s="23"/>
      <c r="O908" s="23"/>
      <c r="P908" s="23"/>
      <c r="Q908" s="23"/>
      <c r="R908" s="23"/>
      <c r="S908" s="23"/>
      <c r="T908" s="23"/>
      <c r="U908" s="23"/>
      <c r="V908" s="96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</row>
    <row r="909" spans="1:40" ht="15.7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96"/>
      <c r="N909" s="23"/>
      <c r="O909" s="23"/>
      <c r="P909" s="23"/>
      <c r="Q909" s="23"/>
      <c r="R909" s="23"/>
      <c r="S909" s="23"/>
      <c r="T909" s="23"/>
      <c r="U909" s="23"/>
      <c r="V909" s="96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</row>
    <row r="910" spans="1:40" ht="15.7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96"/>
      <c r="N910" s="23"/>
      <c r="O910" s="23"/>
      <c r="P910" s="23"/>
      <c r="Q910" s="23"/>
      <c r="R910" s="23"/>
      <c r="S910" s="23"/>
      <c r="T910" s="23"/>
      <c r="U910" s="23"/>
      <c r="V910" s="96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</row>
    <row r="911" spans="1:40" ht="15.7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96"/>
      <c r="N911" s="23"/>
      <c r="O911" s="23"/>
      <c r="P911" s="23"/>
      <c r="Q911" s="23"/>
      <c r="R911" s="23"/>
      <c r="S911" s="23"/>
      <c r="T911" s="23"/>
      <c r="U911" s="23"/>
      <c r="V911" s="96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</row>
    <row r="912" spans="1:40" ht="15.7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96"/>
      <c r="N912" s="23"/>
      <c r="O912" s="23"/>
      <c r="P912" s="23"/>
      <c r="Q912" s="23"/>
      <c r="R912" s="23"/>
      <c r="S912" s="23"/>
      <c r="T912" s="23"/>
      <c r="U912" s="23"/>
      <c r="V912" s="96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</row>
    <row r="913" spans="1:40" ht="15.7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96"/>
      <c r="N913" s="23"/>
      <c r="O913" s="23"/>
      <c r="P913" s="23"/>
      <c r="Q913" s="23"/>
      <c r="R913" s="23"/>
      <c r="S913" s="23"/>
      <c r="T913" s="23"/>
      <c r="U913" s="23"/>
      <c r="V913" s="96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</row>
    <row r="914" spans="1:40" ht="15.7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96"/>
      <c r="N914" s="23"/>
      <c r="O914" s="23"/>
      <c r="P914" s="23"/>
      <c r="Q914" s="23"/>
      <c r="R914" s="23"/>
      <c r="S914" s="23"/>
      <c r="T914" s="23"/>
      <c r="U914" s="23"/>
      <c r="V914" s="96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</row>
    <row r="915" spans="1:40" ht="15.7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96"/>
      <c r="N915" s="23"/>
      <c r="O915" s="23"/>
      <c r="P915" s="23"/>
      <c r="Q915" s="23"/>
      <c r="R915" s="23"/>
      <c r="S915" s="23"/>
      <c r="T915" s="23"/>
      <c r="U915" s="23"/>
      <c r="V915" s="96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</row>
    <row r="916" spans="1:40" ht="15.7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96"/>
      <c r="N916" s="23"/>
      <c r="O916" s="23"/>
      <c r="P916" s="23"/>
      <c r="Q916" s="23"/>
      <c r="R916" s="23"/>
      <c r="S916" s="23"/>
      <c r="T916" s="23"/>
      <c r="U916" s="23"/>
      <c r="V916" s="96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</row>
    <row r="917" spans="1:40" ht="15.7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96"/>
      <c r="N917" s="23"/>
      <c r="O917" s="23"/>
      <c r="P917" s="23"/>
      <c r="Q917" s="23"/>
      <c r="R917" s="23"/>
      <c r="S917" s="23"/>
      <c r="T917" s="23"/>
      <c r="U917" s="23"/>
      <c r="V917" s="96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</row>
    <row r="918" spans="1:40" ht="15.7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96"/>
      <c r="N918" s="23"/>
      <c r="O918" s="23"/>
      <c r="P918" s="23"/>
      <c r="Q918" s="23"/>
      <c r="R918" s="23"/>
      <c r="S918" s="23"/>
      <c r="T918" s="23"/>
      <c r="U918" s="23"/>
      <c r="V918" s="96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</row>
    <row r="919" spans="1:40" ht="15.7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96"/>
      <c r="N919" s="23"/>
      <c r="O919" s="23"/>
      <c r="P919" s="23"/>
      <c r="Q919" s="23"/>
      <c r="R919" s="23"/>
      <c r="S919" s="23"/>
      <c r="T919" s="23"/>
      <c r="U919" s="23"/>
      <c r="V919" s="96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</row>
    <row r="920" spans="1:40" ht="15.7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96"/>
      <c r="N920" s="23"/>
      <c r="O920" s="23"/>
      <c r="P920" s="23"/>
      <c r="Q920" s="23"/>
      <c r="R920" s="23"/>
      <c r="S920" s="23"/>
      <c r="T920" s="23"/>
      <c r="U920" s="23"/>
      <c r="V920" s="96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</row>
    <row r="921" spans="1:40" ht="15.7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96"/>
      <c r="N921" s="23"/>
      <c r="O921" s="23"/>
      <c r="P921" s="23"/>
      <c r="Q921" s="23"/>
      <c r="R921" s="23"/>
      <c r="S921" s="23"/>
      <c r="T921" s="23"/>
      <c r="U921" s="23"/>
      <c r="V921" s="96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</row>
    <row r="922" spans="1:40" ht="15.7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96"/>
      <c r="N922" s="23"/>
      <c r="O922" s="23"/>
      <c r="P922" s="23"/>
      <c r="Q922" s="23"/>
      <c r="R922" s="23"/>
      <c r="S922" s="23"/>
      <c r="T922" s="23"/>
      <c r="U922" s="23"/>
      <c r="V922" s="96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</row>
    <row r="923" spans="1:40" ht="15.7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96"/>
      <c r="N923" s="23"/>
      <c r="O923" s="23"/>
      <c r="P923" s="23"/>
      <c r="Q923" s="23"/>
      <c r="R923" s="23"/>
      <c r="S923" s="23"/>
      <c r="T923" s="23"/>
      <c r="U923" s="23"/>
      <c r="V923" s="96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</row>
    <row r="924" spans="1:40" ht="15.7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96"/>
      <c r="N924" s="23"/>
      <c r="O924" s="23"/>
      <c r="P924" s="23"/>
      <c r="Q924" s="23"/>
      <c r="R924" s="23"/>
      <c r="S924" s="23"/>
      <c r="T924" s="23"/>
      <c r="U924" s="23"/>
      <c r="V924" s="96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</row>
    <row r="925" spans="1:40" ht="15.7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96"/>
      <c r="N925" s="23"/>
      <c r="O925" s="23"/>
      <c r="P925" s="23"/>
      <c r="Q925" s="23"/>
      <c r="R925" s="23"/>
      <c r="S925" s="23"/>
      <c r="T925" s="23"/>
      <c r="U925" s="23"/>
      <c r="V925" s="96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</row>
    <row r="926" spans="1:40" ht="15.7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96"/>
      <c r="N926" s="23"/>
      <c r="O926" s="23"/>
      <c r="P926" s="23"/>
      <c r="Q926" s="23"/>
      <c r="R926" s="23"/>
      <c r="S926" s="23"/>
      <c r="T926" s="23"/>
      <c r="U926" s="23"/>
      <c r="V926" s="96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</row>
    <row r="927" spans="1:40" ht="15.7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96"/>
      <c r="N927" s="23"/>
      <c r="O927" s="23"/>
      <c r="P927" s="23"/>
      <c r="Q927" s="23"/>
      <c r="R927" s="23"/>
      <c r="S927" s="23"/>
      <c r="T927" s="23"/>
      <c r="U927" s="23"/>
      <c r="V927" s="96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</row>
    <row r="928" spans="1:40" ht="15.7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96"/>
      <c r="N928" s="23"/>
      <c r="O928" s="23"/>
      <c r="P928" s="23"/>
      <c r="Q928" s="23"/>
      <c r="R928" s="23"/>
      <c r="S928" s="23"/>
      <c r="T928" s="23"/>
      <c r="U928" s="23"/>
      <c r="V928" s="96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</row>
    <row r="929" spans="1:40" ht="15.7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96"/>
      <c r="N929" s="23"/>
      <c r="O929" s="23"/>
      <c r="P929" s="23"/>
      <c r="Q929" s="23"/>
      <c r="R929" s="23"/>
      <c r="S929" s="23"/>
      <c r="T929" s="23"/>
      <c r="U929" s="23"/>
      <c r="V929" s="96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</row>
    <row r="930" spans="1:40" ht="15.7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96"/>
      <c r="N930" s="23"/>
      <c r="O930" s="23"/>
      <c r="P930" s="23"/>
      <c r="Q930" s="23"/>
      <c r="R930" s="23"/>
      <c r="S930" s="23"/>
      <c r="T930" s="23"/>
      <c r="U930" s="23"/>
      <c r="V930" s="96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</row>
    <row r="931" spans="1:40" ht="15.7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96"/>
      <c r="N931" s="23"/>
      <c r="O931" s="23"/>
      <c r="P931" s="23"/>
      <c r="Q931" s="23"/>
      <c r="R931" s="23"/>
      <c r="S931" s="23"/>
      <c r="T931" s="23"/>
      <c r="U931" s="23"/>
      <c r="V931" s="96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</row>
    <row r="932" spans="1:40" ht="15.7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96"/>
      <c r="N932" s="23"/>
      <c r="O932" s="23"/>
      <c r="P932" s="23"/>
      <c r="Q932" s="23"/>
      <c r="R932" s="23"/>
      <c r="S932" s="23"/>
      <c r="T932" s="23"/>
      <c r="U932" s="23"/>
      <c r="V932" s="96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</row>
    <row r="933" spans="1:40" ht="15.7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96"/>
      <c r="N933" s="23"/>
      <c r="O933" s="23"/>
      <c r="P933" s="23"/>
      <c r="Q933" s="23"/>
      <c r="R933" s="23"/>
      <c r="S933" s="23"/>
      <c r="T933" s="23"/>
      <c r="U933" s="23"/>
      <c r="V933" s="96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</row>
    <row r="934" spans="1:40" ht="15.7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96"/>
      <c r="N934" s="23"/>
      <c r="O934" s="23"/>
      <c r="P934" s="23"/>
      <c r="Q934" s="23"/>
      <c r="R934" s="23"/>
      <c r="S934" s="23"/>
      <c r="T934" s="23"/>
      <c r="U934" s="23"/>
      <c r="V934" s="96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</row>
    <row r="935" spans="1:40" ht="15.7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96"/>
      <c r="N935" s="23"/>
      <c r="O935" s="23"/>
      <c r="P935" s="23"/>
      <c r="Q935" s="23"/>
      <c r="R935" s="23"/>
      <c r="S935" s="23"/>
      <c r="T935" s="23"/>
      <c r="U935" s="23"/>
      <c r="V935" s="96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</row>
    <row r="936" spans="1:40" ht="15.7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96"/>
      <c r="N936" s="23"/>
      <c r="O936" s="23"/>
      <c r="P936" s="23"/>
      <c r="Q936" s="23"/>
      <c r="R936" s="23"/>
      <c r="S936" s="23"/>
      <c r="T936" s="23"/>
      <c r="U936" s="23"/>
      <c r="V936" s="96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</row>
    <row r="937" spans="1:40" ht="15.7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96"/>
      <c r="N937" s="23"/>
      <c r="O937" s="23"/>
      <c r="P937" s="23"/>
      <c r="Q937" s="23"/>
      <c r="R937" s="23"/>
      <c r="S937" s="23"/>
      <c r="T937" s="23"/>
      <c r="U937" s="23"/>
      <c r="V937" s="96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</row>
    <row r="938" spans="1:40" ht="15.7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96"/>
      <c r="N938" s="23"/>
      <c r="O938" s="23"/>
      <c r="P938" s="23"/>
      <c r="Q938" s="23"/>
      <c r="R938" s="23"/>
      <c r="S938" s="23"/>
      <c r="T938" s="23"/>
      <c r="U938" s="23"/>
      <c r="V938" s="96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</row>
    <row r="939" spans="1:40" ht="15.7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96"/>
      <c r="N939" s="23"/>
      <c r="O939" s="23"/>
      <c r="P939" s="23"/>
      <c r="Q939" s="23"/>
      <c r="R939" s="23"/>
      <c r="S939" s="23"/>
      <c r="T939" s="23"/>
      <c r="U939" s="23"/>
      <c r="V939" s="96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</row>
    <row r="940" spans="1:40" ht="15.7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96"/>
      <c r="N940" s="23"/>
      <c r="O940" s="23"/>
      <c r="P940" s="23"/>
      <c r="Q940" s="23"/>
      <c r="R940" s="23"/>
      <c r="S940" s="23"/>
      <c r="T940" s="23"/>
      <c r="U940" s="23"/>
      <c r="V940" s="96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</row>
    <row r="941" spans="1:40" ht="15.7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96"/>
      <c r="N941" s="23"/>
      <c r="O941" s="23"/>
      <c r="P941" s="23"/>
      <c r="Q941" s="23"/>
      <c r="R941" s="23"/>
      <c r="S941" s="23"/>
      <c r="T941" s="23"/>
      <c r="U941" s="23"/>
      <c r="V941" s="96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</row>
    <row r="942" spans="1:40" ht="15.7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96"/>
      <c r="N942" s="23"/>
      <c r="O942" s="23"/>
      <c r="P942" s="23"/>
      <c r="Q942" s="23"/>
      <c r="R942" s="23"/>
      <c r="S942" s="23"/>
      <c r="T942" s="23"/>
      <c r="U942" s="23"/>
      <c r="V942" s="96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</row>
    <row r="943" spans="1:40" ht="15.7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96"/>
      <c r="N943" s="23"/>
      <c r="O943" s="23"/>
      <c r="P943" s="23"/>
      <c r="Q943" s="23"/>
      <c r="R943" s="23"/>
      <c r="S943" s="23"/>
      <c r="T943" s="23"/>
      <c r="U943" s="23"/>
      <c r="V943" s="96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</row>
    <row r="944" spans="1:40" ht="15.7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96"/>
      <c r="N944" s="23"/>
      <c r="O944" s="23"/>
      <c r="P944" s="23"/>
      <c r="Q944" s="23"/>
      <c r="R944" s="23"/>
      <c r="S944" s="23"/>
      <c r="T944" s="23"/>
      <c r="U944" s="23"/>
      <c r="V944" s="96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</row>
    <row r="945" spans="1:40" ht="15.7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96"/>
      <c r="N945" s="23"/>
      <c r="O945" s="23"/>
      <c r="P945" s="23"/>
      <c r="Q945" s="23"/>
      <c r="R945" s="23"/>
      <c r="S945" s="23"/>
      <c r="T945" s="23"/>
      <c r="U945" s="23"/>
      <c r="V945" s="96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</row>
    <row r="946" spans="1:40" ht="15.7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96"/>
      <c r="N946" s="23"/>
      <c r="O946" s="23"/>
      <c r="P946" s="23"/>
      <c r="Q946" s="23"/>
      <c r="R946" s="23"/>
      <c r="S946" s="23"/>
      <c r="T946" s="23"/>
      <c r="U946" s="23"/>
      <c r="V946" s="96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</row>
    <row r="947" spans="1:40" ht="15.7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96"/>
      <c r="N947" s="23"/>
      <c r="O947" s="23"/>
      <c r="P947" s="23"/>
      <c r="Q947" s="23"/>
      <c r="R947" s="23"/>
      <c r="S947" s="23"/>
      <c r="T947" s="23"/>
      <c r="U947" s="23"/>
      <c r="V947" s="96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</row>
    <row r="948" spans="1:40" ht="15.7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96"/>
      <c r="N948" s="23"/>
      <c r="O948" s="23"/>
      <c r="P948" s="23"/>
      <c r="Q948" s="23"/>
      <c r="R948" s="23"/>
      <c r="S948" s="23"/>
      <c r="T948" s="23"/>
      <c r="U948" s="23"/>
      <c r="V948" s="96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</row>
    <row r="949" spans="1:40" ht="15.7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96"/>
      <c r="N949" s="23"/>
      <c r="O949" s="23"/>
      <c r="P949" s="23"/>
      <c r="Q949" s="23"/>
      <c r="R949" s="23"/>
      <c r="S949" s="23"/>
      <c r="T949" s="23"/>
      <c r="U949" s="23"/>
      <c r="V949" s="96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</row>
    <row r="950" spans="1:40" ht="15.7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96"/>
      <c r="N950" s="23"/>
      <c r="O950" s="23"/>
      <c r="P950" s="23"/>
      <c r="Q950" s="23"/>
      <c r="R950" s="23"/>
      <c r="S950" s="23"/>
      <c r="T950" s="23"/>
      <c r="U950" s="23"/>
      <c r="V950" s="96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</row>
    <row r="951" spans="1:40" ht="15.7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96"/>
      <c r="N951" s="23"/>
      <c r="O951" s="23"/>
      <c r="P951" s="23"/>
      <c r="Q951" s="23"/>
      <c r="R951" s="23"/>
      <c r="S951" s="23"/>
      <c r="T951" s="23"/>
      <c r="U951" s="23"/>
      <c r="V951" s="96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</row>
    <row r="952" spans="1:40" ht="15.7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96"/>
      <c r="N952" s="23"/>
      <c r="O952" s="23"/>
      <c r="P952" s="23"/>
      <c r="Q952" s="23"/>
      <c r="R952" s="23"/>
      <c r="S952" s="23"/>
      <c r="T952" s="23"/>
      <c r="U952" s="23"/>
      <c r="V952" s="96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</row>
    <row r="953" spans="1:40" ht="15.7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96"/>
      <c r="N953" s="23"/>
      <c r="O953" s="23"/>
      <c r="P953" s="23"/>
      <c r="Q953" s="23"/>
      <c r="R953" s="23"/>
      <c r="S953" s="23"/>
      <c r="T953" s="23"/>
      <c r="U953" s="23"/>
      <c r="V953" s="96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</row>
    <row r="954" spans="1:40" ht="15.7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96"/>
      <c r="N954" s="23"/>
      <c r="O954" s="23"/>
      <c r="P954" s="23"/>
      <c r="Q954" s="23"/>
      <c r="R954" s="23"/>
      <c r="S954" s="23"/>
      <c r="T954" s="23"/>
      <c r="U954" s="23"/>
      <c r="V954" s="96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</row>
    <row r="955" spans="1:40" ht="15.7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96"/>
      <c r="N955" s="23"/>
      <c r="O955" s="23"/>
      <c r="P955" s="23"/>
      <c r="Q955" s="23"/>
      <c r="R955" s="23"/>
      <c r="S955" s="23"/>
      <c r="T955" s="23"/>
      <c r="U955" s="23"/>
      <c r="V955" s="96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</row>
    <row r="956" spans="1:40" ht="15.7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96"/>
      <c r="N956" s="23"/>
      <c r="O956" s="23"/>
      <c r="P956" s="23"/>
      <c r="Q956" s="23"/>
      <c r="R956" s="23"/>
      <c r="S956" s="23"/>
      <c r="T956" s="23"/>
      <c r="U956" s="23"/>
      <c r="V956" s="96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</row>
    <row r="957" spans="1:40" ht="15.7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96"/>
      <c r="N957" s="23"/>
      <c r="O957" s="23"/>
      <c r="P957" s="23"/>
      <c r="Q957" s="23"/>
      <c r="R957" s="23"/>
      <c r="S957" s="23"/>
      <c r="T957" s="23"/>
      <c r="U957" s="23"/>
      <c r="V957" s="96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</row>
    <row r="958" spans="1:40" ht="15.7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96"/>
      <c r="N958" s="23"/>
      <c r="O958" s="23"/>
      <c r="P958" s="23"/>
      <c r="Q958" s="23"/>
      <c r="R958" s="23"/>
      <c r="S958" s="23"/>
      <c r="T958" s="23"/>
      <c r="U958" s="23"/>
      <c r="V958" s="96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</row>
    <row r="959" spans="1:40" ht="15.7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96"/>
      <c r="N959" s="23"/>
      <c r="O959" s="23"/>
      <c r="P959" s="23"/>
      <c r="Q959" s="23"/>
      <c r="R959" s="23"/>
      <c r="S959" s="23"/>
      <c r="T959" s="23"/>
      <c r="U959" s="23"/>
      <c r="V959" s="96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</row>
    <row r="960" spans="1:40" ht="15.7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96"/>
      <c r="N960" s="23"/>
      <c r="O960" s="23"/>
      <c r="P960" s="23"/>
      <c r="Q960" s="23"/>
      <c r="R960" s="23"/>
      <c r="S960" s="23"/>
      <c r="T960" s="23"/>
      <c r="U960" s="23"/>
      <c r="V960" s="96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</row>
    <row r="961" spans="1:40" ht="15.7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96"/>
      <c r="N961" s="23"/>
      <c r="O961" s="23"/>
      <c r="P961" s="23"/>
      <c r="Q961" s="23"/>
      <c r="R961" s="23"/>
      <c r="S961" s="23"/>
      <c r="T961" s="23"/>
      <c r="U961" s="23"/>
      <c r="V961" s="96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</row>
    <row r="962" spans="1:40" ht="15.7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96"/>
      <c r="N962" s="23"/>
      <c r="O962" s="23"/>
      <c r="P962" s="23"/>
      <c r="Q962" s="23"/>
      <c r="R962" s="23"/>
      <c r="S962" s="23"/>
      <c r="T962" s="23"/>
      <c r="U962" s="23"/>
      <c r="V962" s="96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</row>
    <row r="963" spans="1:40" ht="15.7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96"/>
      <c r="N963" s="23"/>
      <c r="O963" s="23"/>
      <c r="P963" s="23"/>
      <c r="Q963" s="23"/>
      <c r="R963" s="23"/>
      <c r="S963" s="23"/>
      <c r="T963" s="23"/>
      <c r="U963" s="23"/>
      <c r="V963" s="96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</row>
    <row r="964" spans="1:40" ht="15.7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96"/>
      <c r="N964" s="23"/>
      <c r="O964" s="23"/>
      <c r="P964" s="23"/>
      <c r="Q964" s="23"/>
      <c r="R964" s="23"/>
      <c r="S964" s="23"/>
      <c r="T964" s="23"/>
      <c r="U964" s="23"/>
      <c r="V964" s="96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</row>
    <row r="965" spans="1:40" ht="15.7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96"/>
      <c r="N965" s="23"/>
      <c r="O965" s="23"/>
      <c r="P965" s="23"/>
      <c r="Q965" s="23"/>
      <c r="R965" s="23"/>
      <c r="S965" s="23"/>
      <c r="T965" s="23"/>
      <c r="U965" s="23"/>
      <c r="V965" s="96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</row>
    <row r="966" spans="1:40" ht="15.7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96"/>
      <c r="N966" s="23"/>
      <c r="O966" s="23"/>
      <c r="P966" s="23"/>
      <c r="Q966" s="23"/>
      <c r="R966" s="23"/>
      <c r="S966" s="23"/>
      <c r="T966" s="23"/>
      <c r="U966" s="23"/>
      <c r="V966" s="96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</row>
    <row r="967" spans="1:40" ht="15.7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96"/>
      <c r="N967" s="23"/>
      <c r="O967" s="23"/>
      <c r="P967" s="23"/>
      <c r="Q967" s="23"/>
      <c r="R967" s="23"/>
      <c r="S967" s="23"/>
      <c r="T967" s="23"/>
      <c r="U967" s="23"/>
      <c r="V967" s="96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</row>
    <row r="968" spans="1:40" ht="15.7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96"/>
      <c r="N968" s="23"/>
      <c r="O968" s="23"/>
      <c r="P968" s="23"/>
      <c r="Q968" s="23"/>
      <c r="R968" s="23"/>
      <c r="S968" s="23"/>
      <c r="T968" s="23"/>
      <c r="U968" s="23"/>
      <c r="V968" s="96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</row>
    <row r="969" spans="1:40" ht="15.7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96"/>
      <c r="N969" s="23"/>
      <c r="O969" s="23"/>
      <c r="P969" s="23"/>
      <c r="Q969" s="23"/>
      <c r="R969" s="23"/>
      <c r="S969" s="23"/>
      <c r="T969" s="23"/>
      <c r="U969" s="23"/>
      <c r="V969" s="96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</row>
    <row r="970" spans="1:40" ht="15.7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96"/>
      <c r="N970" s="23"/>
      <c r="O970" s="23"/>
      <c r="P970" s="23"/>
      <c r="Q970" s="23"/>
      <c r="R970" s="23"/>
      <c r="S970" s="23"/>
      <c r="T970" s="23"/>
      <c r="U970" s="23"/>
      <c r="V970" s="96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</row>
    <row r="971" spans="1:40" ht="15.7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96"/>
      <c r="N971" s="23"/>
      <c r="O971" s="23"/>
      <c r="P971" s="23"/>
      <c r="Q971" s="23"/>
      <c r="R971" s="23"/>
      <c r="S971" s="23"/>
      <c r="T971" s="23"/>
      <c r="U971" s="23"/>
      <c r="V971" s="96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</row>
    <row r="972" spans="1:40" ht="15.7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96"/>
      <c r="N972" s="23"/>
      <c r="O972" s="23"/>
      <c r="P972" s="23"/>
      <c r="Q972" s="23"/>
      <c r="R972" s="23"/>
      <c r="S972" s="23"/>
      <c r="T972" s="23"/>
      <c r="U972" s="23"/>
      <c r="V972" s="96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</row>
    <row r="973" spans="1:40" ht="15.7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96"/>
      <c r="N973" s="23"/>
      <c r="O973" s="23"/>
      <c r="P973" s="23"/>
      <c r="Q973" s="23"/>
      <c r="R973" s="23"/>
      <c r="S973" s="23"/>
      <c r="T973" s="23"/>
      <c r="U973" s="23"/>
      <c r="V973" s="96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</row>
    <row r="974" spans="1:40" ht="15.7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96"/>
      <c r="N974" s="23"/>
      <c r="O974" s="23"/>
      <c r="P974" s="23"/>
      <c r="Q974" s="23"/>
      <c r="R974" s="23"/>
      <c r="S974" s="23"/>
      <c r="T974" s="23"/>
      <c r="U974" s="23"/>
      <c r="V974" s="96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</row>
    <row r="975" spans="1:40" ht="15.7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96"/>
      <c r="N975" s="23"/>
      <c r="O975" s="23"/>
      <c r="P975" s="23"/>
      <c r="Q975" s="23"/>
      <c r="R975" s="23"/>
      <c r="S975" s="23"/>
      <c r="T975" s="23"/>
      <c r="U975" s="23"/>
      <c r="V975" s="96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</row>
    <row r="976" spans="1:40" ht="15.7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96"/>
      <c r="N976" s="23"/>
      <c r="O976" s="23"/>
      <c r="P976" s="23"/>
      <c r="Q976" s="23"/>
      <c r="R976" s="23"/>
      <c r="S976" s="23"/>
      <c r="T976" s="23"/>
      <c r="U976" s="23"/>
      <c r="V976" s="96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</row>
    <row r="977" spans="1:40" ht="15.7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96"/>
      <c r="N977" s="23"/>
      <c r="O977" s="23"/>
      <c r="P977" s="23"/>
      <c r="Q977" s="23"/>
      <c r="R977" s="23"/>
      <c r="S977" s="23"/>
      <c r="T977" s="23"/>
      <c r="U977" s="23"/>
      <c r="V977" s="96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</row>
    <row r="978" spans="1:40" ht="15.7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96"/>
      <c r="N978" s="23"/>
      <c r="O978" s="23"/>
      <c r="P978" s="23"/>
      <c r="Q978" s="23"/>
      <c r="R978" s="23"/>
      <c r="S978" s="23"/>
      <c r="T978" s="23"/>
      <c r="U978" s="23"/>
      <c r="V978" s="96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</row>
    <row r="979" spans="1:40" ht="15.7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96"/>
      <c r="N979" s="23"/>
      <c r="O979" s="23"/>
      <c r="P979" s="23"/>
      <c r="Q979" s="23"/>
      <c r="R979" s="23"/>
      <c r="S979" s="23"/>
      <c r="T979" s="23"/>
      <c r="U979" s="23"/>
      <c r="V979" s="96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</row>
    <row r="980" spans="1:40" ht="15.7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96"/>
      <c r="N980" s="23"/>
      <c r="O980" s="23"/>
      <c r="P980" s="23"/>
      <c r="Q980" s="23"/>
      <c r="R980" s="23"/>
      <c r="S980" s="23"/>
      <c r="T980" s="23"/>
      <c r="U980" s="23"/>
      <c r="V980" s="96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</row>
    <row r="981" spans="1:40" ht="15.7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96"/>
      <c r="N981" s="23"/>
      <c r="O981" s="23"/>
      <c r="P981" s="23"/>
      <c r="Q981" s="23"/>
      <c r="R981" s="23"/>
      <c r="S981" s="23"/>
      <c r="T981" s="23"/>
      <c r="U981" s="23"/>
      <c r="V981" s="96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</row>
    <row r="982" spans="1:40" ht="15.7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96"/>
      <c r="N982" s="23"/>
      <c r="O982" s="23"/>
      <c r="P982" s="23"/>
      <c r="Q982" s="23"/>
      <c r="R982" s="23"/>
      <c r="S982" s="23"/>
      <c r="T982" s="23"/>
      <c r="U982" s="23"/>
      <c r="V982" s="96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</row>
    <row r="983" spans="1:40" ht="15.7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96"/>
      <c r="N983" s="23"/>
      <c r="O983" s="23"/>
      <c r="P983" s="23"/>
      <c r="Q983" s="23"/>
      <c r="R983" s="23"/>
      <c r="S983" s="23"/>
      <c r="T983" s="23"/>
      <c r="U983" s="23"/>
      <c r="V983" s="96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</row>
    <row r="984" spans="1:40" ht="15.7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96"/>
      <c r="N984" s="23"/>
      <c r="O984" s="23"/>
      <c r="P984" s="23"/>
      <c r="Q984" s="23"/>
      <c r="R984" s="23"/>
      <c r="S984" s="23"/>
      <c r="T984" s="23"/>
      <c r="U984" s="23"/>
      <c r="V984" s="96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</row>
    <row r="985" spans="1:40" ht="15.7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96"/>
      <c r="N985" s="23"/>
      <c r="O985" s="23"/>
      <c r="P985" s="23"/>
      <c r="Q985" s="23"/>
      <c r="R985" s="23"/>
      <c r="S985" s="23"/>
      <c r="T985" s="23"/>
      <c r="U985" s="23"/>
      <c r="V985" s="96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</row>
    <row r="986" spans="1:40" ht="15.7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96"/>
      <c r="N986" s="23"/>
      <c r="O986" s="23"/>
      <c r="P986" s="23"/>
      <c r="Q986" s="23"/>
      <c r="R986" s="23"/>
      <c r="S986" s="23"/>
      <c r="T986" s="23"/>
      <c r="U986" s="23"/>
      <c r="V986" s="96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</row>
    <row r="987" spans="1:40" ht="15.7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96"/>
      <c r="N987" s="23"/>
      <c r="O987" s="23"/>
      <c r="P987" s="23"/>
      <c r="Q987" s="23"/>
      <c r="R987" s="23"/>
      <c r="S987" s="23"/>
      <c r="T987" s="23"/>
      <c r="U987" s="23"/>
      <c r="V987" s="96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</row>
    <row r="988" spans="1:40" ht="15.7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96"/>
      <c r="N988" s="23"/>
      <c r="O988" s="23"/>
      <c r="P988" s="23"/>
      <c r="Q988" s="23"/>
      <c r="R988" s="23"/>
      <c r="S988" s="23"/>
      <c r="T988" s="23"/>
      <c r="U988" s="23"/>
      <c r="V988" s="96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</row>
    <row r="989" spans="1:40" ht="15.7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96"/>
      <c r="N989" s="23"/>
      <c r="O989" s="23"/>
      <c r="P989" s="23"/>
      <c r="Q989" s="23"/>
      <c r="R989" s="23"/>
      <c r="S989" s="23"/>
      <c r="T989" s="23"/>
      <c r="U989" s="23"/>
      <c r="V989" s="96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</row>
    <row r="990" spans="1:40" ht="15.7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96"/>
      <c r="N990" s="23"/>
      <c r="O990" s="23"/>
      <c r="P990" s="23"/>
      <c r="Q990" s="23"/>
      <c r="R990" s="23"/>
      <c r="S990" s="23"/>
      <c r="T990" s="23"/>
      <c r="U990" s="23"/>
      <c r="V990" s="96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</row>
    <row r="991" spans="1:40" ht="15.7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96"/>
      <c r="N991" s="23"/>
      <c r="O991" s="23"/>
      <c r="P991" s="23"/>
      <c r="Q991" s="23"/>
      <c r="R991" s="23"/>
      <c r="S991" s="23"/>
      <c r="T991" s="23"/>
      <c r="U991" s="23"/>
      <c r="V991" s="96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</row>
    <row r="992" spans="1:40" ht="15.7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96"/>
      <c r="N992" s="23"/>
      <c r="O992" s="23"/>
      <c r="P992" s="23"/>
      <c r="Q992" s="23"/>
      <c r="R992" s="23"/>
      <c r="S992" s="23"/>
      <c r="T992" s="23"/>
      <c r="U992" s="23"/>
      <c r="V992" s="96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</row>
    <row r="993" spans="1:40" ht="15.7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96"/>
      <c r="N993" s="23"/>
      <c r="O993" s="23"/>
      <c r="P993" s="23"/>
      <c r="Q993" s="23"/>
      <c r="R993" s="23"/>
      <c r="S993" s="23"/>
      <c r="T993" s="23"/>
      <c r="U993" s="23"/>
      <c r="V993" s="96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</row>
    <row r="994" spans="1:40" ht="15.7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96"/>
      <c r="N994" s="23"/>
      <c r="O994" s="23"/>
      <c r="P994" s="23"/>
      <c r="Q994" s="23"/>
      <c r="R994" s="23"/>
      <c r="S994" s="23"/>
      <c r="T994" s="23"/>
      <c r="U994" s="23"/>
      <c r="V994" s="96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</row>
    <row r="995" spans="1:40" ht="15.7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96"/>
      <c r="N995" s="23"/>
      <c r="O995" s="23"/>
      <c r="P995" s="23"/>
      <c r="Q995" s="23"/>
      <c r="R995" s="23"/>
      <c r="S995" s="23"/>
      <c r="T995" s="23"/>
      <c r="U995" s="23"/>
      <c r="V995" s="96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</row>
    <row r="996" spans="1:40" ht="15.7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96"/>
      <c r="N996" s="23"/>
      <c r="O996" s="23"/>
      <c r="P996" s="23"/>
      <c r="Q996" s="23"/>
      <c r="R996" s="23"/>
      <c r="S996" s="23"/>
      <c r="T996" s="23"/>
      <c r="U996" s="23"/>
      <c r="V996" s="96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</row>
    <row r="997" spans="1:40" ht="15.7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96"/>
      <c r="N997" s="23"/>
      <c r="O997" s="23"/>
      <c r="P997" s="23"/>
      <c r="Q997" s="23"/>
      <c r="R997" s="23"/>
      <c r="S997" s="23"/>
      <c r="T997" s="23"/>
      <c r="U997" s="23"/>
      <c r="V997" s="96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</row>
    <row r="998" spans="1:40" ht="15.7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96"/>
      <c r="N998" s="23"/>
      <c r="O998" s="23"/>
      <c r="P998" s="23"/>
      <c r="Q998" s="23"/>
      <c r="R998" s="23"/>
      <c r="S998" s="23"/>
      <c r="T998" s="23"/>
      <c r="U998" s="23"/>
      <c r="V998" s="96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</row>
    <row r="999" spans="1:40" ht="15.7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96"/>
      <c r="N999" s="23"/>
      <c r="O999" s="23"/>
      <c r="P999" s="23"/>
      <c r="Q999" s="23"/>
      <c r="R999" s="23"/>
      <c r="S999" s="23"/>
      <c r="T999" s="23"/>
      <c r="U999" s="23"/>
      <c r="V999" s="96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</row>
    <row r="1000" spans="1:40" ht="15.75" customHeight="1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96"/>
      <c r="N1000" s="23"/>
      <c r="O1000" s="23"/>
      <c r="P1000" s="23"/>
      <c r="Q1000" s="23"/>
      <c r="R1000" s="23"/>
      <c r="S1000" s="23"/>
      <c r="T1000" s="23"/>
      <c r="U1000" s="23"/>
      <c r="V1000" s="96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</row>
    <row r="1001" spans="1:40" ht="15.75" customHeight="1" x14ac:dyDescent="0.3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96"/>
      <c r="N1001" s="23"/>
      <c r="O1001" s="23"/>
      <c r="P1001" s="23"/>
      <c r="Q1001" s="23"/>
      <c r="R1001" s="23"/>
      <c r="S1001" s="23"/>
      <c r="T1001" s="23"/>
      <c r="U1001" s="23"/>
      <c r="V1001" s="96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</row>
    <row r="1002" spans="1:40" ht="15.75" customHeight="1" x14ac:dyDescent="0.3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96"/>
      <c r="N1002" s="23"/>
      <c r="O1002" s="23"/>
      <c r="P1002" s="23"/>
      <c r="Q1002" s="23"/>
      <c r="R1002" s="23"/>
      <c r="S1002" s="23"/>
      <c r="T1002" s="23"/>
      <c r="U1002" s="23"/>
      <c r="V1002" s="96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</row>
    <row r="1003" spans="1:40" ht="15.75" customHeight="1" x14ac:dyDescent="0.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96"/>
      <c r="N1003" s="23"/>
      <c r="O1003" s="23"/>
      <c r="P1003" s="23"/>
      <c r="Q1003" s="23"/>
      <c r="R1003" s="23"/>
      <c r="S1003" s="23"/>
      <c r="T1003" s="23"/>
      <c r="U1003" s="23"/>
      <c r="V1003" s="96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</row>
    <row r="1004" spans="1:40" ht="15.75" customHeight="1" x14ac:dyDescent="0.3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96"/>
      <c r="N1004" s="23"/>
      <c r="O1004" s="23"/>
      <c r="P1004" s="23"/>
      <c r="Q1004" s="23"/>
      <c r="R1004" s="23"/>
      <c r="S1004" s="23"/>
      <c r="T1004" s="23"/>
      <c r="U1004" s="23"/>
      <c r="V1004" s="96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</row>
    <row r="1005" spans="1:40" ht="15.75" customHeight="1" x14ac:dyDescent="0.3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96"/>
      <c r="N1005" s="23"/>
      <c r="O1005" s="23"/>
      <c r="P1005" s="23"/>
      <c r="Q1005" s="23"/>
      <c r="R1005" s="23"/>
      <c r="S1005" s="23"/>
      <c r="T1005" s="23"/>
      <c r="U1005" s="23"/>
      <c r="V1005" s="96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</row>
    <row r="1006" spans="1:40" ht="15.75" customHeight="1" x14ac:dyDescent="0.3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96"/>
      <c r="N1006" s="23"/>
      <c r="O1006" s="23"/>
      <c r="P1006" s="23"/>
      <c r="Q1006" s="23"/>
      <c r="R1006" s="23"/>
      <c r="S1006" s="23"/>
      <c r="T1006" s="23"/>
      <c r="U1006" s="23"/>
      <c r="V1006" s="96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</row>
    <row r="1007" spans="1:40" ht="15.75" customHeight="1" x14ac:dyDescent="0.3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96"/>
      <c r="N1007" s="23"/>
      <c r="O1007" s="23"/>
      <c r="P1007" s="23"/>
      <c r="Q1007" s="23"/>
      <c r="R1007" s="23"/>
      <c r="S1007" s="23"/>
      <c r="T1007" s="23"/>
      <c r="U1007" s="23"/>
      <c r="V1007" s="96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</row>
    <row r="1008" spans="1:40" ht="15.75" customHeight="1" x14ac:dyDescent="0.3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96"/>
      <c r="N1008" s="23"/>
      <c r="O1008" s="23"/>
      <c r="P1008" s="23"/>
      <c r="Q1008" s="23"/>
      <c r="R1008" s="23"/>
      <c r="S1008" s="23"/>
      <c r="T1008" s="23"/>
      <c r="U1008" s="23"/>
      <c r="V1008" s="96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</row>
    <row r="1009" spans="1:40" ht="15.75" customHeight="1" x14ac:dyDescent="0.3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96"/>
      <c r="N1009" s="23"/>
      <c r="O1009" s="23"/>
      <c r="P1009" s="23"/>
      <c r="Q1009" s="23"/>
      <c r="R1009" s="23"/>
      <c r="S1009" s="23"/>
      <c r="T1009" s="23"/>
      <c r="U1009" s="23"/>
      <c r="V1009" s="96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</row>
  </sheetData>
  <mergeCells count="27">
    <mergeCell ref="H46:H55"/>
    <mergeCell ref="H61:H70"/>
    <mergeCell ref="D2:E2"/>
    <mergeCell ref="B3:B4"/>
    <mergeCell ref="D3:E3"/>
    <mergeCell ref="D4:E4"/>
    <mergeCell ref="B5:B10"/>
    <mergeCell ref="D5:G5"/>
    <mergeCell ref="D6:E6"/>
    <mergeCell ref="D7:E7"/>
    <mergeCell ref="D8:E8"/>
    <mergeCell ref="R76:R82"/>
    <mergeCell ref="AA76:AA80"/>
    <mergeCell ref="D9:E9"/>
    <mergeCell ref="D10:E10"/>
    <mergeCell ref="H14:I14"/>
    <mergeCell ref="H16:H25"/>
    <mergeCell ref="R16:R22"/>
    <mergeCell ref="AA16:AA20"/>
    <mergeCell ref="AA31:AA35"/>
    <mergeCell ref="R31:R37"/>
    <mergeCell ref="R46:R52"/>
    <mergeCell ref="AA46:AA50"/>
    <mergeCell ref="R61:R67"/>
    <mergeCell ref="AA61:AA65"/>
    <mergeCell ref="H76:H85"/>
    <mergeCell ref="H31:H4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09"/>
  <sheetViews>
    <sheetView topLeftCell="H65" zoomScale="90" zoomScaleNormal="90" workbookViewId="0">
      <selection activeCell="AA76" sqref="AA76:AA81"/>
    </sheetView>
  </sheetViews>
  <sheetFormatPr defaultColWidth="14.44140625" defaultRowHeight="15" customHeight="1" x14ac:dyDescent="0.3"/>
  <cols>
    <col min="1" max="1" width="5.33203125" customWidth="1"/>
    <col min="2" max="2" width="17.6640625" customWidth="1"/>
    <col min="3" max="3" width="43.88671875" customWidth="1"/>
    <col min="4" max="4" width="14.33203125" customWidth="1"/>
    <col min="5" max="5" width="11.33203125" customWidth="1"/>
    <col min="6" max="6" width="12.109375" customWidth="1"/>
    <col min="7" max="7" width="13.109375" customWidth="1"/>
    <col min="8" max="8" width="16" customWidth="1"/>
    <col min="9" max="9" width="20" customWidth="1"/>
    <col min="10" max="11" width="8.6640625" customWidth="1"/>
    <col min="12" max="12" width="36.6640625" customWidth="1"/>
    <col min="13" max="13" width="15.44140625" customWidth="1"/>
    <col min="14" max="14" width="12.44140625" customWidth="1"/>
    <col min="15" max="15" width="8.6640625" customWidth="1"/>
    <col min="16" max="16" width="11.44140625" customWidth="1"/>
    <col min="17" max="17" width="17.6640625" customWidth="1"/>
    <col min="18" max="18" width="16.44140625" customWidth="1"/>
    <col min="19" max="20" width="8.6640625" customWidth="1"/>
    <col min="21" max="21" width="45.33203125" customWidth="1"/>
    <col min="22" max="22" width="18" customWidth="1"/>
    <col min="23" max="23" width="13.33203125" customWidth="1"/>
    <col min="24" max="24" width="16.33203125" customWidth="1"/>
    <col min="25" max="25" width="12.44140625" customWidth="1"/>
    <col min="26" max="26" width="18" customWidth="1"/>
    <col min="27" max="27" width="18.109375" customWidth="1"/>
    <col min="28" max="29" width="8.6640625" customWidth="1"/>
    <col min="30" max="30" width="14.88671875" customWidth="1"/>
    <col min="31" max="31" width="14.6640625" customWidth="1"/>
    <col min="32" max="32" width="13.44140625" customWidth="1"/>
    <col min="33" max="33" width="14.6640625" customWidth="1"/>
    <col min="34" max="35" width="13.6640625" customWidth="1"/>
    <col min="36" max="36" width="13.33203125" customWidth="1"/>
  </cols>
  <sheetData>
    <row r="1" spans="1:36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96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5" customHeight="1" x14ac:dyDescent="0.3">
      <c r="A2" s="23"/>
      <c r="B2" s="23"/>
      <c r="C2" s="23"/>
      <c r="D2" s="189" t="s">
        <v>102</v>
      </c>
      <c r="E2" s="176"/>
      <c r="F2" s="25" t="s">
        <v>103</v>
      </c>
      <c r="G2" s="25" t="s">
        <v>104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96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 ht="15" customHeight="1" x14ac:dyDescent="0.3">
      <c r="A3" s="23"/>
      <c r="B3" s="190" t="s">
        <v>105</v>
      </c>
      <c r="C3" s="26" t="s">
        <v>15</v>
      </c>
      <c r="D3" s="191">
        <v>2.5</v>
      </c>
      <c r="E3" s="176"/>
      <c r="F3" s="23">
        <v>3.3</v>
      </c>
      <c r="G3" s="23">
        <v>2.5</v>
      </c>
      <c r="H3" s="23" t="s">
        <v>106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96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1:36" ht="15" customHeight="1" x14ac:dyDescent="0.3">
      <c r="A4" s="23"/>
      <c r="B4" s="176"/>
      <c r="C4" s="26" t="s">
        <v>29</v>
      </c>
      <c r="D4" s="191">
        <v>3</v>
      </c>
      <c r="E4" s="176"/>
      <c r="F4" s="23"/>
      <c r="G4" s="23"/>
      <c r="H4" s="23" t="s">
        <v>106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96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96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 ht="15" customHeight="1" x14ac:dyDescent="0.3">
      <c r="A6" s="23"/>
      <c r="B6" s="176"/>
      <c r="C6" s="30" t="s">
        <v>111</v>
      </c>
      <c r="D6" s="191">
        <f>25+14</f>
        <v>39</v>
      </c>
      <c r="E6" s="176"/>
      <c r="F6" s="23">
        <v>14</v>
      </c>
      <c r="G6" s="23">
        <v>8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96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36" ht="15" customHeight="1" x14ac:dyDescent="0.3">
      <c r="A7" s="23"/>
      <c r="B7" s="176"/>
      <c r="C7" s="30" t="s">
        <v>112</v>
      </c>
      <c r="D7" s="191">
        <f>98+60</f>
        <v>158</v>
      </c>
      <c r="E7" s="176"/>
      <c r="F7" s="23">
        <v>74</v>
      </c>
      <c r="G7" s="23">
        <v>54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96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ht="15" customHeight="1" x14ac:dyDescent="0.3">
      <c r="A8" s="23"/>
      <c r="B8" s="176"/>
      <c r="C8" s="30" t="s">
        <v>113</v>
      </c>
      <c r="D8" s="191">
        <f>153+101</f>
        <v>254</v>
      </c>
      <c r="E8" s="176"/>
      <c r="F8" s="23">
        <v>85</v>
      </c>
      <c r="G8" s="23">
        <v>48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96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1:36" ht="15" customHeight="1" x14ac:dyDescent="0.3">
      <c r="A9" s="23"/>
      <c r="B9" s="176"/>
      <c r="C9" s="30" t="s">
        <v>114</v>
      </c>
      <c r="D9" s="191">
        <f>96+53</f>
        <v>149</v>
      </c>
      <c r="E9" s="176"/>
      <c r="F9" s="23">
        <v>83</v>
      </c>
      <c r="G9" s="23">
        <v>30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96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36" ht="15" customHeight="1" x14ac:dyDescent="0.3">
      <c r="A10" s="23"/>
      <c r="B10" s="176"/>
      <c r="C10" s="30" t="s">
        <v>115</v>
      </c>
      <c r="D10" s="191">
        <f>87+32</f>
        <v>119</v>
      </c>
      <c r="E10" s="176"/>
      <c r="F10" s="23">
        <v>25</v>
      </c>
      <c r="G10" s="23">
        <v>25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96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6" ht="15" customHeight="1" x14ac:dyDescent="0.3">
      <c r="A11" s="23"/>
      <c r="B11" s="31"/>
      <c r="C11" s="30" t="s">
        <v>116</v>
      </c>
      <c r="D11" s="23">
        <v>365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96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96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4.4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96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18" x14ac:dyDescent="0.35">
      <c r="A14" s="23"/>
      <c r="B14" s="23"/>
      <c r="C14" s="32" t="s">
        <v>454</v>
      </c>
      <c r="D14" s="69"/>
      <c r="E14" s="69"/>
      <c r="F14" s="69"/>
      <c r="G14" s="69"/>
      <c r="H14" s="184" t="s">
        <v>281</v>
      </c>
      <c r="I14" s="185"/>
      <c r="J14" s="23"/>
      <c r="K14" s="23"/>
      <c r="L14" s="32" t="s">
        <v>454</v>
      </c>
      <c r="M14" s="33"/>
      <c r="N14" s="33"/>
      <c r="O14" s="33"/>
      <c r="P14" s="33"/>
      <c r="Q14" s="33"/>
      <c r="R14" s="33"/>
      <c r="S14" s="23"/>
      <c r="T14" s="23"/>
      <c r="U14" s="97" t="s">
        <v>454</v>
      </c>
      <c r="V14" s="33"/>
      <c r="W14" s="33"/>
      <c r="X14" s="33"/>
      <c r="Y14" s="33"/>
      <c r="Z14" s="33"/>
      <c r="AA14" s="33"/>
      <c r="AB14" s="23"/>
      <c r="AC14" s="23"/>
      <c r="AD14" s="26" t="s">
        <v>346</v>
      </c>
      <c r="AE14" s="23"/>
      <c r="AF14" s="23"/>
      <c r="AG14" s="23"/>
      <c r="AH14" s="23"/>
      <c r="AI14" s="23"/>
      <c r="AJ14" s="23"/>
    </row>
    <row r="15" spans="1:36" ht="81.75" customHeight="1" x14ac:dyDescent="0.35">
      <c r="A15" s="23"/>
      <c r="B15" s="23"/>
      <c r="C15" s="43" t="s">
        <v>176</v>
      </c>
      <c r="D15" s="38" t="s">
        <v>122</v>
      </c>
      <c r="E15" s="38" t="s">
        <v>129</v>
      </c>
      <c r="F15" s="38" t="s">
        <v>130</v>
      </c>
      <c r="G15" s="38" t="s">
        <v>131</v>
      </c>
      <c r="H15" s="39" t="s">
        <v>126</v>
      </c>
      <c r="I15" s="40" t="s">
        <v>127</v>
      </c>
      <c r="J15" s="23"/>
      <c r="K15" s="23"/>
      <c r="L15" s="43" t="s">
        <v>177</v>
      </c>
      <c r="M15" s="38" t="s">
        <v>122</v>
      </c>
      <c r="N15" s="38" t="s">
        <v>129</v>
      </c>
      <c r="O15" s="38" t="s">
        <v>130</v>
      </c>
      <c r="P15" s="38" t="s">
        <v>131</v>
      </c>
      <c r="Q15" s="39" t="s">
        <v>126</v>
      </c>
      <c r="R15" s="40" t="s">
        <v>127</v>
      </c>
      <c r="S15" s="23"/>
      <c r="T15" s="23"/>
      <c r="U15" s="43" t="s">
        <v>178</v>
      </c>
      <c r="V15" s="38" t="s">
        <v>122</v>
      </c>
      <c r="W15" s="38" t="s">
        <v>129</v>
      </c>
      <c r="X15" s="38" t="s">
        <v>130</v>
      </c>
      <c r="Y15" s="38" t="s">
        <v>131</v>
      </c>
      <c r="Z15" s="39" t="s">
        <v>126</v>
      </c>
      <c r="AA15" s="40" t="s">
        <v>127</v>
      </c>
      <c r="AB15" s="23"/>
      <c r="AC15" s="23"/>
      <c r="AD15" s="44"/>
      <c r="AE15" s="99" t="s">
        <v>179</v>
      </c>
      <c r="AF15" s="100" t="s">
        <v>180</v>
      </c>
      <c r="AG15" s="100" t="s">
        <v>113</v>
      </c>
      <c r="AH15" s="100" t="s">
        <v>114</v>
      </c>
      <c r="AI15" s="100" t="s">
        <v>115</v>
      </c>
      <c r="AJ15" s="29" t="s">
        <v>213</v>
      </c>
    </row>
    <row r="16" spans="1:36" ht="17.399999999999999" x14ac:dyDescent="0.35">
      <c r="A16" s="23"/>
      <c r="B16" s="23"/>
      <c r="C16" s="104" t="s">
        <v>133</v>
      </c>
      <c r="D16" s="105">
        <v>0</v>
      </c>
      <c r="E16" s="105">
        <v>0</v>
      </c>
      <c r="F16" s="106" t="s">
        <v>134</v>
      </c>
      <c r="G16" s="107">
        <v>0</v>
      </c>
      <c r="H16" s="194">
        <f>D6*D3*'Vehicle Infos'!K10</f>
        <v>310.05</v>
      </c>
      <c r="I16" s="44">
        <f>$D$6*E16*'Vehicle Infos'!$L$10</f>
        <v>0</v>
      </c>
      <c r="J16" s="23"/>
      <c r="K16" s="23"/>
      <c r="L16" s="44" t="s">
        <v>135</v>
      </c>
      <c r="M16" s="48">
        <v>0</v>
      </c>
      <c r="N16" s="47">
        <v>0</v>
      </c>
      <c r="O16" s="46" t="s">
        <v>134</v>
      </c>
      <c r="P16" s="47">
        <v>0</v>
      </c>
      <c r="Q16" s="194">
        <f>F6*F3*'Vehicle Infos'!K21</f>
        <v>146.43089999999998</v>
      </c>
      <c r="R16" s="49">
        <f>$F$6*N16*'Vehicle Infos'!$L$21</f>
        <v>0</v>
      </c>
      <c r="S16" s="23"/>
      <c r="T16" s="23"/>
      <c r="U16" s="101" t="s">
        <v>136</v>
      </c>
      <c r="V16" s="48">
        <v>0</v>
      </c>
      <c r="W16" s="47">
        <v>0</v>
      </c>
      <c r="X16" s="46" t="s">
        <v>134</v>
      </c>
      <c r="Y16" s="47">
        <v>0</v>
      </c>
      <c r="Z16" s="194">
        <f>G6*G3*'Vehicle Infos'!K29</f>
        <v>63.359999999999992</v>
      </c>
      <c r="AA16" s="49">
        <f>$G$6*W16*'Vehicle Infos'!$L$29</f>
        <v>0</v>
      </c>
      <c r="AB16" s="23"/>
      <c r="AC16" s="23"/>
      <c r="AD16" s="44" t="s">
        <v>200</v>
      </c>
      <c r="AE16" s="89">
        <f>SUM(H16:H25)*D11</f>
        <v>113168.25</v>
      </c>
      <c r="AF16" s="81">
        <f>SUM(H31:H40)*D11</f>
        <v>458476.50000000006</v>
      </c>
      <c r="AG16" s="81">
        <f>SUM(H46:H55)*D11</f>
        <v>737044.50000000012</v>
      </c>
      <c r="AH16" s="81">
        <f>SUM(H61:H70)*D11</f>
        <v>432360.75</v>
      </c>
      <c r="AI16" s="81">
        <f>SUM(H76:H85)*D11</f>
        <v>345308.25</v>
      </c>
      <c r="AJ16" s="81">
        <f>SUM(AE16:AI16)</f>
        <v>2086358.25</v>
      </c>
    </row>
    <row r="17" spans="1:36" ht="17.399999999999999" x14ac:dyDescent="0.35">
      <c r="A17" s="23"/>
      <c r="B17" s="23"/>
      <c r="C17" s="104" t="s">
        <v>137</v>
      </c>
      <c r="D17" s="105">
        <v>7.5</v>
      </c>
      <c r="E17" s="105">
        <v>7.5</v>
      </c>
      <c r="F17" s="106" t="s">
        <v>138</v>
      </c>
      <c r="G17" s="107">
        <v>7</v>
      </c>
      <c r="H17" s="181"/>
      <c r="I17" s="44">
        <f>$D$6*E17*'Vehicle Infos'!$L$10</f>
        <v>75.321870000000004</v>
      </c>
      <c r="J17" s="23"/>
      <c r="K17" s="23"/>
      <c r="L17" s="44" t="s">
        <v>139</v>
      </c>
      <c r="M17" s="48">
        <v>1</v>
      </c>
      <c r="N17" s="47">
        <v>1</v>
      </c>
      <c r="O17" s="46" t="s">
        <v>140</v>
      </c>
      <c r="P17" s="47">
        <v>2</v>
      </c>
      <c r="Q17" s="181"/>
      <c r="R17" s="49">
        <f>$F$6*N17*'Vehicle Infos'!$L$21</f>
        <v>2.5454359999999996</v>
      </c>
      <c r="S17" s="23"/>
      <c r="T17" s="23"/>
      <c r="U17" s="101" t="s">
        <v>141</v>
      </c>
      <c r="V17" s="48">
        <v>3</v>
      </c>
      <c r="W17" s="51">
        <v>3</v>
      </c>
      <c r="X17" s="46" t="s">
        <v>142</v>
      </c>
      <c r="Y17" s="47">
        <v>5</v>
      </c>
      <c r="Z17" s="181"/>
      <c r="AA17" s="49">
        <f>$G$6*W17*'Vehicle Infos'!$L$29</f>
        <v>4.0101640000000005</v>
      </c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17.399999999999999" x14ac:dyDescent="0.35">
      <c r="A18" s="23"/>
      <c r="B18" s="23"/>
      <c r="C18" s="104" t="s">
        <v>143</v>
      </c>
      <c r="D18" s="105">
        <v>8</v>
      </c>
      <c r="E18" s="105">
        <v>0.5</v>
      </c>
      <c r="F18" s="106" t="s">
        <v>455</v>
      </c>
      <c r="G18" s="107">
        <v>2</v>
      </c>
      <c r="H18" s="181"/>
      <c r="I18" s="44">
        <f>$D$6*E18*'Vehicle Infos'!$L$10</f>
        <v>5.021458</v>
      </c>
      <c r="J18" s="23"/>
      <c r="K18" s="23"/>
      <c r="L18" s="44" t="s">
        <v>145</v>
      </c>
      <c r="M18" s="48">
        <v>2.5</v>
      </c>
      <c r="N18" s="51">
        <v>1.5</v>
      </c>
      <c r="O18" s="46" t="s">
        <v>138</v>
      </c>
      <c r="P18" s="47">
        <v>5</v>
      </c>
      <c r="Q18" s="181"/>
      <c r="R18" s="49">
        <f>$F$6*N18*'Vehicle Infos'!$L$21</f>
        <v>3.8181539999999994</v>
      </c>
      <c r="S18" s="23"/>
      <c r="T18" s="23"/>
      <c r="U18" s="101" t="s">
        <v>146</v>
      </c>
      <c r="V18" s="48">
        <v>5.5</v>
      </c>
      <c r="W18" s="51">
        <v>2.5</v>
      </c>
      <c r="X18" s="46" t="s">
        <v>347</v>
      </c>
      <c r="Y18" s="47">
        <v>6</v>
      </c>
      <c r="Z18" s="181"/>
      <c r="AA18" s="49">
        <f>$G$6*W18*'Vehicle Infos'!$L$29</f>
        <v>3.3418033333333335</v>
      </c>
      <c r="AB18" s="23"/>
      <c r="AC18" s="23"/>
      <c r="AD18" s="5"/>
      <c r="AE18" s="5"/>
      <c r="AF18" s="52"/>
      <c r="AG18" s="52"/>
      <c r="AH18" s="52"/>
      <c r="AI18" s="52"/>
      <c r="AJ18" s="23"/>
    </row>
    <row r="19" spans="1:36" ht="17.399999999999999" x14ac:dyDescent="0.35">
      <c r="A19" s="23"/>
      <c r="B19" s="23"/>
      <c r="C19" s="104" t="s">
        <v>148</v>
      </c>
      <c r="D19" s="105">
        <v>9</v>
      </c>
      <c r="E19" s="105">
        <v>1</v>
      </c>
      <c r="F19" s="106" t="s">
        <v>347</v>
      </c>
      <c r="G19" s="107">
        <v>2</v>
      </c>
      <c r="H19" s="181"/>
      <c r="I19" s="44">
        <f>$D$6*E19*'Vehicle Infos'!$L$10</f>
        <v>10.042916</v>
      </c>
      <c r="J19" s="23"/>
      <c r="K19" s="23"/>
      <c r="L19" s="44" t="s">
        <v>150</v>
      </c>
      <c r="M19" s="48">
        <v>9</v>
      </c>
      <c r="N19" s="51">
        <v>6.5</v>
      </c>
      <c r="O19" s="46" t="s">
        <v>348</v>
      </c>
      <c r="P19" s="47">
        <v>9</v>
      </c>
      <c r="Q19" s="181"/>
      <c r="R19" s="49">
        <f>$F$6*N19*'Vehicle Infos'!$L$21</f>
        <v>16.545333999999997</v>
      </c>
      <c r="S19" s="23"/>
      <c r="T19" s="23"/>
      <c r="U19" s="101" t="s">
        <v>151</v>
      </c>
      <c r="V19" s="48">
        <v>7.5</v>
      </c>
      <c r="W19" s="51">
        <v>2</v>
      </c>
      <c r="X19" s="46" t="s">
        <v>152</v>
      </c>
      <c r="Y19" s="47">
        <v>8</v>
      </c>
      <c r="Z19" s="181"/>
      <c r="AA19" s="49">
        <f>$G$6*W19*'Vehicle Infos'!$L$29</f>
        <v>2.6734426666666669</v>
      </c>
      <c r="AB19" s="23"/>
      <c r="AC19" s="23"/>
      <c r="AD19" s="5"/>
      <c r="AE19" s="1"/>
      <c r="AF19" s="1"/>
      <c r="AG19" s="1"/>
      <c r="AH19" s="1"/>
      <c r="AI19" s="1"/>
      <c r="AJ19" s="23"/>
    </row>
    <row r="20" spans="1:36" ht="17.399999999999999" x14ac:dyDescent="0.35">
      <c r="A20" s="23"/>
      <c r="B20" s="23"/>
      <c r="C20" s="104" t="s">
        <v>153</v>
      </c>
      <c r="D20" s="105">
        <v>10</v>
      </c>
      <c r="E20" s="105">
        <v>1</v>
      </c>
      <c r="F20" s="106" t="s">
        <v>149</v>
      </c>
      <c r="G20" s="107">
        <v>3</v>
      </c>
      <c r="H20" s="181"/>
      <c r="I20" s="44">
        <f>$D$6*E20*'Vehicle Infos'!$L$10</f>
        <v>10.042916</v>
      </c>
      <c r="J20" s="23"/>
      <c r="K20" s="23"/>
      <c r="L20" s="44" t="s">
        <v>155</v>
      </c>
      <c r="M20" s="48">
        <v>12</v>
      </c>
      <c r="N20" s="51">
        <v>3</v>
      </c>
      <c r="O20" s="46" t="s">
        <v>349</v>
      </c>
      <c r="P20" s="47">
        <v>4</v>
      </c>
      <c r="Q20" s="181"/>
      <c r="R20" s="49">
        <f>$F$6*N20*'Vehicle Infos'!$L$21</f>
        <v>7.6363079999999988</v>
      </c>
      <c r="S20" s="23"/>
      <c r="T20" s="23"/>
      <c r="U20" s="101" t="s">
        <v>156</v>
      </c>
      <c r="V20" s="48">
        <v>12</v>
      </c>
      <c r="W20" s="51">
        <v>4.5</v>
      </c>
      <c r="X20" s="46" t="s">
        <v>456</v>
      </c>
      <c r="Y20" s="47">
        <v>13</v>
      </c>
      <c r="Z20" s="193"/>
      <c r="AA20" s="49">
        <f>$G$6*W20*'Vehicle Infos'!$L$29</f>
        <v>6.0152460000000003</v>
      </c>
      <c r="AB20" s="23"/>
      <c r="AC20" s="23"/>
      <c r="AD20" s="5"/>
      <c r="AE20" s="1"/>
      <c r="AF20" s="1"/>
      <c r="AG20" s="1"/>
      <c r="AH20" s="1"/>
      <c r="AI20" s="1"/>
      <c r="AJ20" s="23"/>
    </row>
    <row r="21" spans="1:36" ht="17.399999999999999" x14ac:dyDescent="0.35">
      <c r="A21" s="23"/>
      <c r="B21" s="23"/>
      <c r="C21" s="104" t="s">
        <v>158</v>
      </c>
      <c r="D21" s="105">
        <v>11</v>
      </c>
      <c r="E21" s="105">
        <v>1</v>
      </c>
      <c r="F21" s="106" t="s">
        <v>349</v>
      </c>
      <c r="G21" s="107">
        <v>6</v>
      </c>
      <c r="H21" s="181"/>
      <c r="I21" s="44">
        <f>$D$6*E21*'Vehicle Infos'!$L$10</f>
        <v>10.042916</v>
      </c>
      <c r="J21" s="23"/>
      <c r="K21" s="23"/>
      <c r="L21" s="44" t="s">
        <v>160</v>
      </c>
      <c r="M21" s="48">
        <v>15.5</v>
      </c>
      <c r="N21" s="51">
        <v>3.5</v>
      </c>
      <c r="O21" s="46" t="s">
        <v>288</v>
      </c>
      <c r="P21" s="91">
        <v>5</v>
      </c>
      <c r="Q21" s="181"/>
      <c r="R21" s="49">
        <f>$F$6*N21*'Vehicle Infos'!$L$21</f>
        <v>8.909025999999999</v>
      </c>
      <c r="S21" s="23"/>
      <c r="T21" s="23"/>
      <c r="U21" s="102" t="s">
        <v>162</v>
      </c>
      <c r="V21" s="48"/>
      <c r="W21" s="51">
        <f>SUM(W16:W20)</f>
        <v>12</v>
      </c>
      <c r="X21" s="46"/>
      <c r="Y21" s="92">
        <f>SUM(Y16:Y20)</f>
        <v>32</v>
      </c>
      <c r="Z21" s="57"/>
      <c r="AA21" s="49">
        <f>$G$6*W21*'Vehicle Infos'!$L$29</f>
        <v>16.040656000000002</v>
      </c>
      <c r="AB21" s="23"/>
      <c r="AC21" s="23"/>
      <c r="AD21" s="5"/>
      <c r="AE21" s="188"/>
      <c r="AF21" s="176"/>
      <c r="AG21" s="176"/>
      <c r="AH21" s="176"/>
      <c r="AI21" s="176"/>
      <c r="AJ21" s="23"/>
    </row>
    <row r="22" spans="1:36" ht="17.399999999999999" x14ac:dyDescent="0.35">
      <c r="A22" s="23"/>
      <c r="B22" s="23"/>
      <c r="C22" s="104" t="s">
        <v>163</v>
      </c>
      <c r="D22" s="105">
        <v>12</v>
      </c>
      <c r="E22" s="105">
        <v>1</v>
      </c>
      <c r="F22" s="106" t="s">
        <v>457</v>
      </c>
      <c r="G22" s="107">
        <v>3</v>
      </c>
      <c r="H22" s="181"/>
      <c r="I22" s="44">
        <f>$D$6*E22*'Vehicle Infos'!$L$10</f>
        <v>10.042916</v>
      </c>
      <c r="J22" s="23"/>
      <c r="K22" s="23"/>
      <c r="L22" s="44" t="s">
        <v>165</v>
      </c>
      <c r="M22" s="48">
        <v>18.5</v>
      </c>
      <c r="N22" s="51">
        <v>3</v>
      </c>
      <c r="O22" s="46" t="s">
        <v>166</v>
      </c>
      <c r="P22" s="47">
        <v>5</v>
      </c>
      <c r="Q22" s="193"/>
      <c r="R22" s="49">
        <f>$F$6*N22*'Vehicle Infos'!$L$21</f>
        <v>7.6363079999999988</v>
      </c>
      <c r="S22" s="23"/>
      <c r="T22" s="23"/>
      <c r="U22" s="101"/>
      <c r="V22" s="48"/>
      <c r="W22" s="51"/>
      <c r="X22" s="46"/>
      <c r="Y22" s="47"/>
      <c r="Z22" s="57"/>
      <c r="AA22" s="49"/>
      <c r="AB22" s="23"/>
      <c r="AC22" s="23"/>
      <c r="AD22" s="5"/>
      <c r="AE22" s="1"/>
      <c r="AF22" s="1"/>
      <c r="AG22" s="1"/>
      <c r="AH22" s="1"/>
      <c r="AI22" s="1"/>
      <c r="AJ22" s="23"/>
    </row>
    <row r="23" spans="1:36" ht="17.399999999999999" x14ac:dyDescent="0.35">
      <c r="A23" s="23"/>
      <c r="B23" s="23"/>
      <c r="C23" s="104" t="s">
        <v>167</v>
      </c>
      <c r="D23" s="105">
        <v>14</v>
      </c>
      <c r="E23" s="105">
        <v>2</v>
      </c>
      <c r="F23" s="106" t="s">
        <v>286</v>
      </c>
      <c r="G23" s="107">
        <v>4</v>
      </c>
      <c r="H23" s="181"/>
      <c r="I23" s="44">
        <f>$D$6*E23*'Vehicle Infos'!$L$10</f>
        <v>20.085832</v>
      </c>
      <c r="J23" s="23"/>
      <c r="K23" s="23"/>
      <c r="L23" s="54" t="s">
        <v>162</v>
      </c>
      <c r="M23" s="49"/>
      <c r="N23" s="45">
        <f>SUM(N16:N22)</f>
        <v>18.5</v>
      </c>
      <c r="O23" s="58"/>
      <c r="P23" s="75">
        <f>SUM(P17:P22)</f>
        <v>30</v>
      </c>
      <c r="Q23" s="57"/>
      <c r="R23" s="49">
        <f>$F$6*N23*'Vehicle Infos'!$L$21</f>
        <v>47.090565999999995</v>
      </c>
      <c r="S23" s="23"/>
      <c r="T23" s="23"/>
      <c r="U23" s="102"/>
      <c r="V23" s="49"/>
      <c r="W23" s="45"/>
      <c r="X23" s="58"/>
      <c r="Y23" s="75"/>
      <c r="Z23" s="57"/>
      <c r="AA23" s="49"/>
      <c r="AB23" s="23"/>
      <c r="AC23" s="23"/>
      <c r="AD23" s="5"/>
      <c r="AE23" s="1"/>
      <c r="AF23" s="1"/>
      <c r="AG23" s="1"/>
      <c r="AH23" s="1"/>
      <c r="AI23" s="1"/>
      <c r="AJ23" s="23"/>
    </row>
    <row r="24" spans="1:36" ht="17.399999999999999" x14ac:dyDescent="0.35">
      <c r="A24" s="23"/>
      <c r="B24" s="23"/>
      <c r="C24" s="104" t="s">
        <v>169</v>
      </c>
      <c r="D24" s="105">
        <v>14.5</v>
      </c>
      <c r="E24" s="105">
        <v>0.5</v>
      </c>
      <c r="F24" s="106" t="s">
        <v>458</v>
      </c>
      <c r="G24" s="107">
        <v>2</v>
      </c>
      <c r="H24" s="181"/>
      <c r="I24" s="44">
        <f>$D$6*E24*'Vehicle Infos'!$L$10</f>
        <v>5.021458</v>
      </c>
      <c r="J24" s="23"/>
      <c r="K24" s="23"/>
      <c r="L24" s="44"/>
      <c r="M24" s="45"/>
      <c r="N24" s="45"/>
      <c r="O24" s="46"/>
      <c r="P24" s="47"/>
      <c r="Q24" s="57"/>
      <c r="R24" s="49"/>
      <c r="S24" s="23"/>
      <c r="T24" s="23"/>
      <c r="U24" s="101"/>
      <c r="V24" s="45"/>
      <c r="W24" s="45"/>
      <c r="X24" s="46"/>
      <c r="Y24" s="47"/>
      <c r="Z24" s="57"/>
      <c r="AA24" s="49"/>
      <c r="AB24" s="23"/>
      <c r="AC24" s="23"/>
      <c r="AD24" s="5"/>
      <c r="AE24" s="5"/>
      <c r="AF24" s="5"/>
      <c r="AG24" s="5"/>
      <c r="AH24" s="5"/>
      <c r="AI24" s="5"/>
      <c r="AJ24" s="23"/>
    </row>
    <row r="25" spans="1:36" ht="17.399999999999999" x14ac:dyDescent="0.35">
      <c r="A25" s="23"/>
      <c r="B25" s="23"/>
      <c r="C25" s="104" t="s">
        <v>171</v>
      </c>
      <c r="D25" s="105">
        <v>15</v>
      </c>
      <c r="E25" s="105">
        <v>0.5</v>
      </c>
      <c r="F25" s="106" t="s">
        <v>166</v>
      </c>
      <c r="G25" s="107">
        <v>1</v>
      </c>
      <c r="H25" s="193"/>
      <c r="I25" s="44">
        <f>$D$6*E25*'Vehicle Infos'!$L$10</f>
        <v>5.021458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96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17.399999999999999" x14ac:dyDescent="0.35">
      <c r="A26" s="23"/>
      <c r="B26" s="23"/>
      <c r="C26" s="70" t="s">
        <v>162</v>
      </c>
      <c r="D26" s="108"/>
      <c r="E26" s="105">
        <v>15</v>
      </c>
      <c r="F26" s="111"/>
      <c r="G26" s="110">
        <f>SUM(G17:G25)</f>
        <v>30</v>
      </c>
      <c r="H26" s="47"/>
      <c r="I26" s="44">
        <f>$D$6*E26*'Vehicle Infos'!$L$10</f>
        <v>150.64374000000001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96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1:36" ht="14.4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96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14.4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96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18" x14ac:dyDescent="0.35">
      <c r="A29" s="23"/>
      <c r="B29" s="23"/>
      <c r="C29" s="32" t="s">
        <v>459</v>
      </c>
      <c r="D29" s="69"/>
      <c r="E29" s="69"/>
      <c r="F29" s="69"/>
      <c r="G29" s="69"/>
      <c r="H29" s="69"/>
      <c r="I29" s="69"/>
      <c r="J29" s="23"/>
      <c r="K29" s="23"/>
      <c r="L29" s="32" t="s">
        <v>459</v>
      </c>
      <c r="M29" s="33"/>
      <c r="N29" s="33"/>
      <c r="O29" s="33"/>
      <c r="P29" s="33"/>
      <c r="Q29" s="33"/>
      <c r="R29" s="33"/>
      <c r="S29" s="23"/>
      <c r="T29" s="23"/>
      <c r="U29" s="97" t="s">
        <v>459</v>
      </c>
      <c r="V29" s="33"/>
      <c r="W29" s="33"/>
      <c r="X29" s="33"/>
      <c r="Y29" s="33"/>
      <c r="Z29" s="33"/>
      <c r="AA29" s="3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81" customHeight="1" x14ac:dyDescent="0.3">
      <c r="A30" s="23"/>
      <c r="B30" s="23"/>
      <c r="C30" s="43" t="s">
        <v>176</v>
      </c>
      <c r="D30" s="38" t="s">
        <v>122</v>
      </c>
      <c r="E30" s="38" t="s">
        <v>129</v>
      </c>
      <c r="F30" s="38" t="s">
        <v>130</v>
      </c>
      <c r="G30" s="38" t="s">
        <v>131</v>
      </c>
      <c r="H30" s="39" t="s">
        <v>126</v>
      </c>
      <c r="I30" s="40" t="s">
        <v>127</v>
      </c>
      <c r="J30" s="23"/>
      <c r="K30" s="23"/>
      <c r="L30" s="43" t="s">
        <v>177</v>
      </c>
      <c r="M30" s="38" t="s">
        <v>122</v>
      </c>
      <c r="N30" s="38" t="s">
        <v>129</v>
      </c>
      <c r="O30" s="38" t="s">
        <v>130</v>
      </c>
      <c r="P30" s="38" t="s">
        <v>131</v>
      </c>
      <c r="Q30" s="39" t="s">
        <v>126</v>
      </c>
      <c r="R30" s="40" t="s">
        <v>127</v>
      </c>
      <c r="S30" s="23"/>
      <c r="T30" s="23"/>
      <c r="U30" s="43" t="s">
        <v>178</v>
      </c>
      <c r="V30" s="38" t="s">
        <v>122</v>
      </c>
      <c r="W30" s="38" t="s">
        <v>129</v>
      </c>
      <c r="X30" s="38" t="s">
        <v>130</v>
      </c>
      <c r="Y30" s="38" t="s">
        <v>131</v>
      </c>
      <c r="Z30" s="39" t="s">
        <v>126</v>
      </c>
      <c r="AA30" s="40" t="s">
        <v>127</v>
      </c>
      <c r="AB30" s="23"/>
      <c r="AC30" s="23"/>
      <c r="AD30" s="23"/>
      <c r="AE30" s="23"/>
      <c r="AF30" s="23"/>
      <c r="AG30" s="23"/>
      <c r="AH30" s="23"/>
      <c r="AI30" s="23"/>
      <c r="AJ30" s="23"/>
    </row>
    <row r="31" spans="1:36" ht="17.399999999999999" x14ac:dyDescent="0.35">
      <c r="A31" s="23"/>
      <c r="B31" s="23"/>
      <c r="C31" s="104" t="s">
        <v>133</v>
      </c>
      <c r="D31" s="105">
        <v>0</v>
      </c>
      <c r="E31" s="105">
        <v>0</v>
      </c>
      <c r="F31" s="106" t="s">
        <v>181</v>
      </c>
      <c r="G31" s="107"/>
      <c r="H31" s="194">
        <f>D7*D3*'Vehicle Infos'!K10</f>
        <v>1256.1000000000001</v>
      </c>
      <c r="I31" s="44">
        <f>$D$7*E31*'Vehicle Infos'!$L$10</f>
        <v>0</v>
      </c>
      <c r="J31" s="23"/>
      <c r="K31" s="23"/>
      <c r="L31" s="44" t="s">
        <v>135</v>
      </c>
      <c r="M31" s="48">
        <v>0</v>
      </c>
      <c r="N31" s="47">
        <v>0</v>
      </c>
      <c r="O31" s="46" t="s">
        <v>183</v>
      </c>
      <c r="P31" s="47">
        <v>0</v>
      </c>
      <c r="Q31" s="194">
        <f>F7*F3*'Vehicle Infos'!K21</f>
        <v>773.99189999999987</v>
      </c>
      <c r="R31" s="49">
        <f>$F$7*N31*'Vehicle Infos'!$L$21</f>
        <v>0</v>
      </c>
      <c r="S31" s="23"/>
      <c r="T31" s="23"/>
      <c r="U31" s="101" t="s">
        <v>136</v>
      </c>
      <c r="V31" s="48">
        <v>0</v>
      </c>
      <c r="W31" s="47">
        <v>0</v>
      </c>
      <c r="X31" s="46" t="s">
        <v>183</v>
      </c>
      <c r="Y31" s="47">
        <v>0</v>
      </c>
      <c r="Z31" s="194">
        <f>G7*G3*'Vehicle Infos'!K29</f>
        <v>427.67999999999995</v>
      </c>
      <c r="AA31" s="49">
        <f>$G$7*W31*'Vehicle Infos'!$L$29</f>
        <v>0</v>
      </c>
      <c r="AB31" s="23"/>
      <c r="AC31" s="23"/>
      <c r="AD31" s="23"/>
      <c r="AE31" s="23"/>
      <c r="AF31" s="23"/>
      <c r="AG31" s="23"/>
      <c r="AH31" s="23"/>
      <c r="AI31" s="23"/>
      <c r="AJ31" s="23"/>
    </row>
    <row r="32" spans="1:36" ht="17.399999999999999" x14ac:dyDescent="0.35">
      <c r="A32" s="23"/>
      <c r="B32" s="23"/>
      <c r="C32" s="104" t="s">
        <v>137</v>
      </c>
      <c r="D32" s="105">
        <v>7.5</v>
      </c>
      <c r="E32" s="105">
        <v>7.5</v>
      </c>
      <c r="F32" s="106" t="s">
        <v>185</v>
      </c>
      <c r="G32" s="107">
        <v>7</v>
      </c>
      <c r="H32" s="181"/>
      <c r="I32" s="44">
        <f>$D$7*E32*'Vehicle Infos'!$L$10</f>
        <v>305.15014000000002</v>
      </c>
      <c r="J32" s="23"/>
      <c r="K32" s="23"/>
      <c r="L32" s="44" t="s">
        <v>139</v>
      </c>
      <c r="M32" s="48">
        <v>1</v>
      </c>
      <c r="N32" s="47">
        <v>1</v>
      </c>
      <c r="O32" s="46" t="s">
        <v>355</v>
      </c>
      <c r="P32" s="107">
        <v>2</v>
      </c>
      <c r="Q32" s="181"/>
      <c r="R32" s="49">
        <f>$F$7*N32*'Vehicle Infos'!$L$21</f>
        <v>13.454447428571427</v>
      </c>
      <c r="S32" s="23"/>
      <c r="T32" s="23"/>
      <c r="U32" s="101" t="s">
        <v>141</v>
      </c>
      <c r="V32" s="48">
        <v>3</v>
      </c>
      <c r="W32" s="51">
        <v>3</v>
      </c>
      <c r="X32" s="46" t="s">
        <v>356</v>
      </c>
      <c r="Y32" s="107">
        <v>5</v>
      </c>
      <c r="Z32" s="181"/>
      <c r="AA32" s="49">
        <f>$G$7*W32*'Vehicle Infos'!$L$29</f>
        <v>27.068607000000004</v>
      </c>
      <c r="AB32" s="23"/>
      <c r="AC32" s="23"/>
      <c r="AD32" s="23"/>
      <c r="AE32" s="23"/>
      <c r="AF32" s="23"/>
      <c r="AG32" s="23"/>
      <c r="AH32" s="23"/>
      <c r="AI32" s="23"/>
      <c r="AJ32" s="23"/>
    </row>
    <row r="33" spans="1:36" ht="15.75" customHeight="1" x14ac:dyDescent="0.35">
      <c r="A33" s="23"/>
      <c r="B33" s="23"/>
      <c r="C33" s="104" t="s">
        <v>143</v>
      </c>
      <c r="D33" s="105">
        <v>8</v>
      </c>
      <c r="E33" s="105">
        <v>0.5</v>
      </c>
      <c r="F33" s="106" t="s">
        <v>296</v>
      </c>
      <c r="G33" s="107">
        <v>3</v>
      </c>
      <c r="H33" s="181"/>
      <c r="I33" s="44">
        <f>$D$7*E33*'Vehicle Infos'!$L$10</f>
        <v>20.343342666666665</v>
      </c>
      <c r="J33" s="23"/>
      <c r="K33" s="23"/>
      <c r="L33" s="44" t="s">
        <v>145</v>
      </c>
      <c r="M33" s="48">
        <v>2.5</v>
      </c>
      <c r="N33" s="51">
        <v>1.5</v>
      </c>
      <c r="O33" s="46" t="s">
        <v>408</v>
      </c>
      <c r="P33" s="107">
        <v>5</v>
      </c>
      <c r="Q33" s="181"/>
      <c r="R33" s="49">
        <f>$F$7*N33*'Vehicle Infos'!$L$21</f>
        <v>20.181671142857141</v>
      </c>
      <c r="S33" s="23"/>
      <c r="T33" s="23"/>
      <c r="U33" s="101" t="s">
        <v>146</v>
      </c>
      <c r="V33" s="48">
        <v>5.5</v>
      </c>
      <c r="W33" s="51">
        <v>2.5</v>
      </c>
      <c r="X33" s="46" t="s">
        <v>460</v>
      </c>
      <c r="Y33" s="107">
        <v>7</v>
      </c>
      <c r="Z33" s="181"/>
      <c r="AA33" s="49">
        <f>$G$7*W33*'Vehicle Infos'!$L$29</f>
        <v>22.5571725</v>
      </c>
      <c r="AB33" s="23"/>
      <c r="AC33" s="23"/>
      <c r="AD33" s="23"/>
      <c r="AE33" s="23"/>
      <c r="AF33" s="23"/>
      <c r="AG33" s="23"/>
      <c r="AH33" s="23"/>
      <c r="AI33" s="23"/>
      <c r="AJ33" s="23"/>
    </row>
    <row r="34" spans="1:36" ht="15.75" customHeight="1" x14ac:dyDescent="0.35">
      <c r="A34" s="23"/>
      <c r="B34" s="23"/>
      <c r="C34" s="104" t="s">
        <v>148</v>
      </c>
      <c r="D34" s="105">
        <v>9</v>
      </c>
      <c r="E34" s="105">
        <v>1</v>
      </c>
      <c r="F34" s="106" t="s">
        <v>461</v>
      </c>
      <c r="G34" s="107">
        <v>6</v>
      </c>
      <c r="H34" s="181"/>
      <c r="I34" s="44">
        <f>$D$7*E34*'Vehicle Infos'!$L$10</f>
        <v>40.68668533333333</v>
      </c>
      <c r="J34" s="23"/>
      <c r="K34" s="23"/>
      <c r="L34" s="44" t="s">
        <v>150</v>
      </c>
      <c r="M34" s="48">
        <v>9</v>
      </c>
      <c r="N34" s="51">
        <v>6.5</v>
      </c>
      <c r="O34" s="46" t="s">
        <v>294</v>
      </c>
      <c r="P34" s="107">
        <v>10</v>
      </c>
      <c r="Q34" s="181"/>
      <c r="R34" s="49">
        <f>$F$7*N34*'Vehicle Infos'!$L$21</f>
        <v>87.453908285714277</v>
      </c>
      <c r="S34" s="23"/>
      <c r="T34" s="23"/>
      <c r="U34" s="101" t="s">
        <v>151</v>
      </c>
      <c r="V34" s="48">
        <v>7.5</v>
      </c>
      <c r="W34" s="51">
        <v>2</v>
      </c>
      <c r="X34" s="46" t="s">
        <v>360</v>
      </c>
      <c r="Y34" s="107">
        <v>11</v>
      </c>
      <c r="Z34" s="181"/>
      <c r="AA34" s="49">
        <f>$G$7*W34*'Vehicle Infos'!$L$29</f>
        <v>18.045738</v>
      </c>
      <c r="AB34" s="23"/>
      <c r="AC34" s="23"/>
      <c r="AD34" s="23"/>
      <c r="AE34" s="23"/>
      <c r="AF34" s="23"/>
      <c r="AG34" s="23"/>
      <c r="AH34" s="23"/>
      <c r="AI34" s="23"/>
      <c r="AJ34" s="23"/>
    </row>
    <row r="35" spans="1:36" ht="15.75" customHeight="1" x14ac:dyDescent="0.35">
      <c r="A35" s="23"/>
      <c r="B35" s="23"/>
      <c r="C35" s="104" t="s">
        <v>153</v>
      </c>
      <c r="D35" s="105">
        <v>10</v>
      </c>
      <c r="E35" s="105">
        <v>1</v>
      </c>
      <c r="F35" s="106" t="s">
        <v>462</v>
      </c>
      <c r="G35" s="107">
        <v>7</v>
      </c>
      <c r="H35" s="181"/>
      <c r="I35" s="44">
        <f>$D$7*E35*'Vehicle Infos'!$L$10</f>
        <v>40.68668533333333</v>
      </c>
      <c r="J35" s="23"/>
      <c r="K35" s="23"/>
      <c r="L35" s="44" t="s">
        <v>155</v>
      </c>
      <c r="M35" s="48">
        <v>12</v>
      </c>
      <c r="N35" s="51">
        <v>3</v>
      </c>
      <c r="O35" s="46" t="s">
        <v>360</v>
      </c>
      <c r="P35" s="107">
        <v>6</v>
      </c>
      <c r="Q35" s="181"/>
      <c r="R35" s="49">
        <f>$F$7*N35*'Vehicle Infos'!$L$21</f>
        <v>40.363342285714282</v>
      </c>
      <c r="S35" s="23"/>
      <c r="T35" s="23"/>
      <c r="U35" s="101" t="s">
        <v>156</v>
      </c>
      <c r="V35" s="48">
        <v>12</v>
      </c>
      <c r="W35" s="51">
        <v>4.5</v>
      </c>
      <c r="X35" s="46" t="s">
        <v>411</v>
      </c>
      <c r="Y35" s="107">
        <v>24</v>
      </c>
      <c r="Z35" s="193"/>
      <c r="AA35" s="49">
        <f>$G$7*W35*'Vehicle Infos'!$L$29</f>
        <v>40.6029105</v>
      </c>
      <c r="AB35" s="23"/>
      <c r="AC35" s="23"/>
      <c r="AD35" s="23"/>
      <c r="AE35" s="23"/>
      <c r="AF35" s="23"/>
      <c r="AG35" s="23"/>
      <c r="AH35" s="23"/>
      <c r="AI35" s="23"/>
      <c r="AJ35" s="23"/>
    </row>
    <row r="36" spans="1:36" ht="15.75" customHeight="1" x14ac:dyDescent="0.35">
      <c r="A36" s="23"/>
      <c r="B36" s="23"/>
      <c r="C36" s="104" t="s">
        <v>158</v>
      </c>
      <c r="D36" s="105">
        <v>11</v>
      </c>
      <c r="E36" s="105">
        <v>1</v>
      </c>
      <c r="F36" s="106" t="s">
        <v>463</v>
      </c>
      <c r="G36" s="107">
        <v>11</v>
      </c>
      <c r="H36" s="181"/>
      <c r="I36" s="44">
        <f>$D$7*E36*'Vehicle Infos'!$L$10</f>
        <v>40.68668533333333</v>
      </c>
      <c r="J36" s="23"/>
      <c r="K36" s="23"/>
      <c r="L36" s="44" t="s">
        <v>160</v>
      </c>
      <c r="M36" s="48">
        <v>15.5</v>
      </c>
      <c r="N36" s="51">
        <v>3.5</v>
      </c>
      <c r="O36" s="46" t="s">
        <v>464</v>
      </c>
      <c r="P36" s="107">
        <v>10</v>
      </c>
      <c r="Q36" s="181"/>
      <c r="R36" s="49">
        <f>$F$7*N36*'Vehicle Infos'!$L$21</f>
        <v>47.090565999999995</v>
      </c>
      <c r="S36" s="23"/>
      <c r="T36" s="23"/>
      <c r="U36" s="102" t="s">
        <v>162</v>
      </c>
      <c r="V36" s="48"/>
      <c r="W36" s="51">
        <f>SUM(W31:W35)</f>
        <v>12</v>
      </c>
      <c r="X36" s="46"/>
      <c r="Y36" s="110">
        <f>SUM(Y31:Y35)</f>
        <v>47</v>
      </c>
      <c r="Z36" s="57"/>
      <c r="AA36" s="49">
        <f>$G$7*W36*'Vehicle Infos'!$L$29</f>
        <v>108.27442800000001</v>
      </c>
      <c r="AB36" s="23"/>
      <c r="AC36" s="23"/>
      <c r="AD36" s="23"/>
      <c r="AE36" s="23"/>
      <c r="AF36" s="23"/>
      <c r="AG36" s="23"/>
      <c r="AH36" s="23"/>
      <c r="AI36" s="23"/>
      <c r="AJ36" s="23"/>
    </row>
    <row r="37" spans="1:36" ht="15.75" customHeight="1" x14ac:dyDescent="0.35">
      <c r="A37" s="23"/>
      <c r="B37" s="23"/>
      <c r="C37" s="104" t="s">
        <v>163</v>
      </c>
      <c r="D37" s="105">
        <v>12</v>
      </c>
      <c r="E37" s="105">
        <v>1</v>
      </c>
      <c r="F37" s="106" t="s">
        <v>362</v>
      </c>
      <c r="G37" s="107">
        <v>4</v>
      </c>
      <c r="H37" s="181"/>
      <c r="I37" s="44">
        <f>$D$7*E37*'Vehicle Infos'!$L$10</f>
        <v>40.68668533333333</v>
      </c>
      <c r="J37" s="23"/>
      <c r="K37" s="23"/>
      <c r="L37" s="44" t="s">
        <v>165</v>
      </c>
      <c r="M37" s="48">
        <v>18.5</v>
      </c>
      <c r="N37" s="51">
        <v>3</v>
      </c>
      <c r="O37" s="46" t="s">
        <v>465</v>
      </c>
      <c r="P37" s="107">
        <v>11</v>
      </c>
      <c r="Q37" s="193"/>
      <c r="R37" s="49">
        <f>$F$7*N37*'Vehicle Infos'!$L$21</f>
        <v>40.363342285714282</v>
      </c>
      <c r="S37" s="23"/>
      <c r="T37" s="23"/>
      <c r="U37" s="101"/>
      <c r="V37" s="45"/>
      <c r="W37" s="45"/>
      <c r="X37" s="46"/>
      <c r="Y37" s="47"/>
      <c r="Z37" s="57"/>
      <c r="AA37" s="49"/>
      <c r="AB37" s="23"/>
      <c r="AC37" s="23"/>
      <c r="AD37" s="23"/>
      <c r="AE37" s="23"/>
      <c r="AF37" s="23"/>
      <c r="AG37" s="23"/>
      <c r="AH37" s="23"/>
      <c r="AI37" s="23"/>
      <c r="AJ37" s="23"/>
    </row>
    <row r="38" spans="1:36" ht="15.75" customHeight="1" x14ac:dyDescent="0.35">
      <c r="A38" s="23"/>
      <c r="B38" s="23"/>
      <c r="C38" s="104" t="s">
        <v>167</v>
      </c>
      <c r="D38" s="105">
        <v>14</v>
      </c>
      <c r="E38" s="105">
        <v>2</v>
      </c>
      <c r="F38" s="106" t="s">
        <v>364</v>
      </c>
      <c r="G38" s="107">
        <v>6</v>
      </c>
      <c r="H38" s="181"/>
      <c r="I38" s="44">
        <f>$D$7*E38*'Vehicle Infos'!$L$10</f>
        <v>81.373370666666659</v>
      </c>
      <c r="J38" s="23"/>
      <c r="K38" s="23"/>
      <c r="L38" s="54" t="s">
        <v>162</v>
      </c>
      <c r="M38" s="49"/>
      <c r="N38" s="45">
        <f>SUM(N31:N37)</f>
        <v>18.5</v>
      </c>
      <c r="O38" s="58"/>
      <c r="P38" s="75">
        <f>SUM(P32:P37)</f>
        <v>44</v>
      </c>
      <c r="Q38" s="57"/>
      <c r="R38" s="49">
        <f>$F$7*N38*'Vehicle Infos'!$L$21</f>
        <v>248.90727742857138</v>
      </c>
      <c r="S38" s="23"/>
      <c r="T38" s="23"/>
      <c r="U38" s="96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</row>
    <row r="39" spans="1:36" ht="15.75" customHeight="1" x14ac:dyDescent="0.35">
      <c r="A39" s="23"/>
      <c r="B39" s="23"/>
      <c r="C39" s="104" t="s">
        <v>169</v>
      </c>
      <c r="D39" s="105">
        <v>14.5</v>
      </c>
      <c r="E39" s="105">
        <v>0.5</v>
      </c>
      <c r="F39" s="106" t="s">
        <v>466</v>
      </c>
      <c r="G39" s="107">
        <v>3</v>
      </c>
      <c r="H39" s="181"/>
      <c r="I39" s="44">
        <f>$D$7*E39*'Vehicle Infos'!$L$10</f>
        <v>20.343342666666665</v>
      </c>
      <c r="J39" s="23"/>
      <c r="K39" s="23"/>
      <c r="L39" s="44"/>
      <c r="M39" s="45"/>
      <c r="N39" s="45"/>
      <c r="O39" s="46"/>
      <c r="P39" s="47"/>
      <c r="Q39" s="57"/>
      <c r="R39" s="49"/>
      <c r="S39" s="23"/>
      <c r="T39" s="23"/>
      <c r="U39" s="96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</row>
    <row r="40" spans="1:36" ht="15.75" customHeight="1" x14ac:dyDescent="0.35">
      <c r="A40" s="23"/>
      <c r="B40" s="23"/>
      <c r="C40" s="104" t="s">
        <v>171</v>
      </c>
      <c r="D40" s="105">
        <v>15</v>
      </c>
      <c r="E40" s="105">
        <v>0.5</v>
      </c>
      <c r="F40" s="106" t="s">
        <v>467</v>
      </c>
      <c r="G40" s="107">
        <v>2</v>
      </c>
      <c r="H40" s="193"/>
      <c r="I40" s="44">
        <f>$D$7*E40*'Vehicle Infos'!$L$10</f>
        <v>20.343342666666665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96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ht="15.75" customHeight="1" x14ac:dyDescent="0.35">
      <c r="A41" s="23"/>
      <c r="B41" s="23"/>
      <c r="C41" s="70" t="s">
        <v>162</v>
      </c>
      <c r="D41" s="108"/>
      <c r="E41" s="116">
        <v>15</v>
      </c>
      <c r="F41" s="111"/>
      <c r="G41" s="110">
        <f>SUM(G32:G40)</f>
        <v>49</v>
      </c>
      <c r="H41" s="47"/>
      <c r="I41" s="44">
        <f>$D$7*E41*'Vehicle Infos'!$L$10</f>
        <v>610.30028000000004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96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ht="15.7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96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96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6" ht="15.75" customHeight="1" x14ac:dyDescent="0.35">
      <c r="A44" s="23"/>
      <c r="B44" s="23"/>
      <c r="C44" s="32" t="s">
        <v>468</v>
      </c>
      <c r="D44" s="69"/>
      <c r="E44" s="69"/>
      <c r="F44" s="69"/>
      <c r="G44" s="69"/>
      <c r="H44" s="69"/>
      <c r="I44" s="69"/>
      <c r="J44" s="23"/>
      <c r="K44" s="23"/>
      <c r="L44" s="32" t="s">
        <v>468</v>
      </c>
      <c r="M44" s="33"/>
      <c r="N44" s="33"/>
      <c r="O44" s="33"/>
      <c r="P44" s="33"/>
      <c r="Q44" s="33"/>
      <c r="R44" s="33"/>
      <c r="S44" s="23"/>
      <c r="T44" s="23"/>
      <c r="U44" s="97" t="s">
        <v>468</v>
      </c>
      <c r="V44" s="33"/>
      <c r="W44" s="33"/>
      <c r="X44" s="33"/>
      <c r="Y44" s="33"/>
      <c r="Z44" s="33"/>
      <c r="AA44" s="3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6" ht="90.75" customHeight="1" x14ac:dyDescent="0.3">
      <c r="A45" s="23"/>
      <c r="B45" s="23"/>
      <c r="C45" s="43" t="s">
        <v>176</v>
      </c>
      <c r="D45" s="38" t="s">
        <v>122</v>
      </c>
      <c r="E45" s="38" t="s">
        <v>129</v>
      </c>
      <c r="F45" s="38" t="s">
        <v>130</v>
      </c>
      <c r="G45" s="38" t="s">
        <v>131</v>
      </c>
      <c r="H45" s="39" t="s">
        <v>126</v>
      </c>
      <c r="I45" s="40" t="s">
        <v>127</v>
      </c>
      <c r="J45" s="23"/>
      <c r="K45" s="23"/>
      <c r="L45" s="43" t="s">
        <v>177</v>
      </c>
      <c r="M45" s="38" t="s">
        <v>122</v>
      </c>
      <c r="N45" s="38" t="s">
        <v>129</v>
      </c>
      <c r="O45" s="38" t="s">
        <v>130</v>
      </c>
      <c r="P45" s="38" t="s">
        <v>131</v>
      </c>
      <c r="Q45" s="39" t="s">
        <v>126</v>
      </c>
      <c r="R45" s="40" t="s">
        <v>127</v>
      </c>
      <c r="S45" s="23"/>
      <c r="T45" s="23"/>
      <c r="U45" s="43" t="s">
        <v>178</v>
      </c>
      <c r="V45" s="38" t="s">
        <v>122</v>
      </c>
      <c r="W45" s="38" t="s">
        <v>129</v>
      </c>
      <c r="X45" s="38" t="s">
        <v>130</v>
      </c>
      <c r="Y45" s="38" t="s">
        <v>131</v>
      </c>
      <c r="Z45" s="39" t="s">
        <v>126</v>
      </c>
      <c r="AA45" s="40" t="s">
        <v>127</v>
      </c>
      <c r="AB45" s="23"/>
      <c r="AC45" s="23"/>
      <c r="AD45" s="23"/>
      <c r="AE45" s="23"/>
      <c r="AF45" s="23"/>
      <c r="AG45" s="23"/>
      <c r="AH45" s="23"/>
      <c r="AI45" s="23"/>
      <c r="AJ45" s="23"/>
    </row>
    <row r="46" spans="1:36" ht="15.75" customHeight="1" x14ac:dyDescent="0.35">
      <c r="A46" s="23"/>
      <c r="B46" s="23"/>
      <c r="C46" s="104" t="s">
        <v>133</v>
      </c>
      <c r="D46" s="105">
        <v>0</v>
      </c>
      <c r="E46" s="105">
        <v>0</v>
      </c>
      <c r="F46" s="106" t="s">
        <v>214</v>
      </c>
      <c r="G46" s="107"/>
      <c r="H46" s="194">
        <f>D8*D3*'Vehicle Infos'!K10</f>
        <v>2019.3000000000002</v>
      </c>
      <c r="I46" s="44">
        <f>$D$8*E46*'Vehicle Infos'!$L$10</f>
        <v>0</v>
      </c>
      <c r="J46" s="23"/>
      <c r="K46" s="23"/>
      <c r="L46" s="44" t="s">
        <v>135</v>
      </c>
      <c r="M46" s="48">
        <v>0</v>
      </c>
      <c r="N46" s="47">
        <v>0</v>
      </c>
      <c r="O46" s="46" t="s">
        <v>372</v>
      </c>
      <c r="P46" s="47"/>
      <c r="Q46" s="194">
        <f>F8*F3*'Vehicle Infos'!K21</f>
        <v>889.04474999999991</v>
      </c>
      <c r="R46" s="49">
        <f>$F$8*N46*'Vehicle Infos'!$L$21</f>
        <v>0</v>
      </c>
      <c r="S46" s="23"/>
      <c r="T46" s="23"/>
      <c r="U46" s="101" t="s">
        <v>136</v>
      </c>
      <c r="V46" s="48">
        <v>0</v>
      </c>
      <c r="W46" s="47">
        <v>0</v>
      </c>
      <c r="X46" s="46" t="s">
        <v>372</v>
      </c>
      <c r="Y46" s="47">
        <v>0</v>
      </c>
      <c r="Z46" s="194">
        <f>G8*G3*'Vehicle Infos'!K29</f>
        <v>380.15999999999997</v>
      </c>
      <c r="AA46" s="49">
        <f>$G$8*W46*'Vehicle Infos'!$L$29</f>
        <v>0</v>
      </c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6" ht="15.75" customHeight="1" x14ac:dyDescent="0.35">
      <c r="A47" s="23"/>
      <c r="B47" s="23"/>
      <c r="C47" s="104" t="s">
        <v>137</v>
      </c>
      <c r="D47" s="105">
        <v>7.5</v>
      </c>
      <c r="E47" s="105">
        <v>7.5</v>
      </c>
      <c r="F47" s="106" t="s">
        <v>217</v>
      </c>
      <c r="G47" s="107">
        <v>7</v>
      </c>
      <c r="H47" s="181"/>
      <c r="I47" s="44">
        <f>$D$8*E47*'Vehicle Infos'!$L$10</f>
        <v>490.55781999999999</v>
      </c>
      <c r="J47" s="23"/>
      <c r="K47" s="23"/>
      <c r="L47" s="44" t="s">
        <v>139</v>
      </c>
      <c r="M47" s="48">
        <v>1</v>
      </c>
      <c r="N47" s="47">
        <v>1</v>
      </c>
      <c r="O47" s="46" t="s">
        <v>469</v>
      </c>
      <c r="P47" s="47">
        <v>2</v>
      </c>
      <c r="Q47" s="181"/>
      <c r="R47" s="49">
        <f>$F$8*N47*'Vehicle Infos'!$L$21</f>
        <v>15.454432857142855</v>
      </c>
      <c r="S47" s="23"/>
      <c r="T47" s="23"/>
      <c r="U47" s="101" t="s">
        <v>141</v>
      </c>
      <c r="V47" s="48">
        <v>3</v>
      </c>
      <c r="W47" s="51">
        <v>3</v>
      </c>
      <c r="X47" s="46" t="s">
        <v>423</v>
      </c>
      <c r="Y47" s="47">
        <v>5</v>
      </c>
      <c r="Z47" s="181"/>
      <c r="AA47" s="49">
        <f>$G$8*W47*'Vehicle Infos'!$L$29</f>
        <v>24.060984000000001</v>
      </c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6" ht="15.75" customHeight="1" x14ac:dyDescent="0.35">
      <c r="A48" s="23"/>
      <c r="B48" s="23"/>
      <c r="C48" s="104" t="s">
        <v>143</v>
      </c>
      <c r="D48" s="105">
        <v>8</v>
      </c>
      <c r="E48" s="105">
        <v>0.5</v>
      </c>
      <c r="F48" s="106" t="s">
        <v>220</v>
      </c>
      <c r="G48" s="107">
        <v>2</v>
      </c>
      <c r="H48" s="181"/>
      <c r="I48" s="44">
        <f>$D$8*E48*'Vehicle Infos'!$L$10</f>
        <v>32.703854666666665</v>
      </c>
      <c r="J48" s="23"/>
      <c r="K48" s="23"/>
      <c r="L48" s="44" t="s">
        <v>145</v>
      </c>
      <c r="M48" s="48">
        <v>2.5</v>
      </c>
      <c r="N48" s="51">
        <v>1.5</v>
      </c>
      <c r="O48" s="46" t="s">
        <v>470</v>
      </c>
      <c r="P48" s="47">
        <v>5</v>
      </c>
      <c r="Q48" s="181"/>
      <c r="R48" s="49">
        <f>$F$8*N48*'Vehicle Infos'!$L$21</f>
        <v>23.181649285714283</v>
      </c>
      <c r="S48" s="23"/>
      <c r="T48" s="23"/>
      <c r="U48" s="101" t="s">
        <v>146</v>
      </c>
      <c r="V48" s="48">
        <v>5.5</v>
      </c>
      <c r="W48" s="51">
        <v>2.5</v>
      </c>
      <c r="X48" s="46" t="s">
        <v>471</v>
      </c>
      <c r="Y48" s="47">
        <v>6</v>
      </c>
      <c r="Z48" s="181"/>
      <c r="AA48" s="49">
        <f>$G$8*W48*'Vehicle Infos'!$L$29</f>
        <v>20.050820000000002</v>
      </c>
      <c r="AB48" s="23"/>
      <c r="AC48" s="23"/>
      <c r="AD48" s="23"/>
      <c r="AE48" s="23"/>
      <c r="AF48" s="23"/>
      <c r="AG48" s="23"/>
      <c r="AH48" s="23"/>
      <c r="AI48" s="23"/>
      <c r="AJ48" s="23"/>
    </row>
    <row r="49" spans="1:36" ht="15.75" customHeight="1" x14ac:dyDescent="0.35">
      <c r="A49" s="23"/>
      <c r="B49" s="23"/>
      <c r="C49" s="104" t="s">
        <v>148</v>
      </c>
      <c r="D49" s="105">
        <v>9</v>
      </c>
      <c r="E49" s="105">
        <v>1</v>
      </c>
      <c r="F49" s="106" t="s">
        <v>311</v>
      </c>
      <c r="G49" s="107">
        <v>3</v>
      </c>
      <c r="H49" s="181"/>
      <c r="I49" s="44">
        <f>$D$8*E49*'Vehicle Infos'!$L$10</f>
        <v>65.407709333333329</v>
      </c>
      <c r="J49" s="23"/>
      <c r="K49" s="23"/>
      <c r="L49" s="44" t="s">
        <v>150</v>
      </c>
      <c r="M49" s="48">
        <v>9</v>
      </c>
      <c r="N49" s="51">
        <v>6.5</v>
      </c>
      <c r="O49" s="46" t="s">
        <v>472</v>
      </c>
      <c r="P49" s="47">
        <v>9</v>
      </c>
      <c r="Q49" s="181"/>
      <c r="R49" s="49">
        <f>$F$8*N49*'Vehicle Infos'!$L$21</f>
        <v>100.45381357142855</v>
      </c>
      <c r="S49" s="23"/>
      <c r="T49" s="23"/>
      <c r="U49" s="101" t="s">
        <v>151</v>
      </c>
      <c r="V49" s="48">
        <v>7.5</v>
      </c>
      <c r="W49" s="51">
        <v>2</v>
      </c>
      <c r="X49" s="46" t="s">
        <v>473</v>
      </c>
      <c r="Y49" s="47">
        <v>7</v>
      </c>
      <c r="Z49" s="181"/>
      <c r="AA49" s="49">
        <f>$G$8*W49*'Vehicle Infos'!$L$29</f>
        <v>16.040656000000002</v>
      </c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ht="15.75" customHeight="1" x14ac:dyDescent="0.35">
      <c r="A50" s="23"/>
      <c r="B50" s="23"/>
      <c r="C50" s="104" t="s">
        <v>153</v>
      </c>
      <c r="D50" s="105">
        <v>10</v>
      </c>
      <c r="E50" s="105">
        <v>1</v>
      </c>
      <c r="F50" s="106" t="s">
        <v>314</v>
      </c>
      <c r="G50" s="107">
        <v>3</v>
      </c>
      <c r="H50" s="181"/>
      <c r="I50" s="44">
        <f>$D$8*E50*'Vehicle Infos'!$L$10</f>
        <v>65.407709333333329</v>
      </c>
      <c r="J50" s="23"/>
      <c r="K50" s="23"/>
      <c r="L50" s="44" t="s">
        <v>155</v>
      </c>
      <c r="M50" s="48">
        <v>12</v>
      </c>
      <c r="N50" s="51">
        <v>3</v>
      </c>
      <c r="O50" s="46" t="s">
        <v>474</v>
      </c>
      <c r="P50" s="47">
        <v>4</v>
      </c>
      <c r="Q50" s="181"/>
      <c r="R50" s="49">
        <f>$F$8*N50*'Vehicle Infos'!$L$21</f>
        <v>46.363298571428565</v>
      </c>
      <c r="S50" s="23"/>
      <c r="T50" s="23"/>
      <c r="U50" s="101" t="s">
        <v>156</v>
      </c>
      <c r="V50" s="48">
        <v>12</v>
      </c>
      <c r="W50" s="51">
        <v>4.5</v>
      </c>
      <c r="X50" s="46" t="s">
        <v>475</v>
      </c>
      <c r="Y50" s="47">
        <v>13</v>
      </c>
      <c r="Z50" s="193"/>
      <c r="AA50" s="49">
        <f>$G$8*W50*'Vehicle Infos'!$L$29</f>
        <v>36.091476</v>
      </c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:36" ht="15.75" customHeight="1" x14ac:dyDescent="0.35">
      <c r="A51" s="23"/>
      <c r="B51" s="23"/>
      <c r="C51" s="104" t="s">
        <v>158</v>
      </c>
      <c r="D51" s="105">
        <v>11</v>
      </c>
      <c r="E51" s="105">
        <v>1</v>
      </c>
      <c r="F51" s="106" t="s">
        <v>476</v>
      </c>
      <c r="G51" s="107">
        <v>7</v>
      </c>
      <c r="H51" s="181"/>
      <c r="I51" s="44">
        <f>$D$8*E51*'Vehicle Infos'!$L$10</f>
        <v>65.407709333333329</v>
      </c>
      <c r="J51" s="23"/>
      <c r="K51" s="23"/>
      <c r="L51" s="44" t="s">
        <v>160</v>
      </c>
      <c r="M51" s="48">
        <v>15.5</v>
      </c>
      <c r="N51" s="51">
        <v>3.5</v>
      </c>
      <c r="O51" s="46" t="s">
        <v>477</v>
      </c>
      <c r="P51" s="91">
        <v>5</v>
      </c>
      <c r="Q51" s="181"/>
      <c r="R51" s="49">
        <f>$F$8*N51*'Vehicle Infos'!$L$21</f>
        <v>54.090514999999989</v>
      </c>
      <c r="S51" s="23"/>
      <c r="T51" s="23"/>
      <c r="U51" s="102" t="s">
        <v>162</v>
      </c>
      <c r="V51" s="48"/>
      <c r="W51" s="51">
        <f>SUM(W46:W50)</f>
        <v>12</v>
      </c>
      <c r="X51" s="46"/>
      <c r="Y51" s="92">
        <f>SUM(Y46:Y50)</f>
        <v>31</v>
      </c>
      <c r="Z51" s="57"/>
      <c r="AA51" s="49">
        <f>$G$8*W51*'Vehicle Infos'!$L$29</f>
        <v>96.243936000000005</v>
      </c>
      <c r="AB51" s="23"/>
      <c r="AC51" s="23"/>
      <c r="AD51" s="23"/>
      <c r="AE51" s="23"/>
      <c r="AF51" s="23"/>
      <c r="AG51" s="23"/>
      <c r="AH51" s="23"/>
      <c r="AI51" s="23"/>
      <c r="AJ51" s="23"/>
    </row>
    <row r="52" spans="1:36" ht="15.75" customHeight="1" x14ac:dyDescent="0.35">
      <c r="A52" s="23"/>
      <c r="B52" s="23"/>
      <c r="C52" s="104" t="s">
        <v>163</v>
      </c>
      <c r="D52" s="105">
        <v>12</v>
      </c>
      <c r="E52" s="105">
        <v>1</v>
      </c>
      <c r="F52" s="106" t="s">
        <v>478</v>
      </c>
      <c r="G52" s="107">
        <v>3</v>
      </c>
      <c r="H52" s="181"/>
      <c r="I52" s="44">
        <f>$D$8*E52*'Vehicle Infos'!$L$10</f>
        <v>65.407709333333329</v>
      </c>
      <c r="J52" s="23"/>
      <c r="K52" s="23"/>
      <c r="L52" s="44" t="s">
        <v>165</v>
      </c>
      <c r="M52" s="48">
        <v>18.5</v>
      </c>
      <c r="N52" s="51">
        <v>3</v>
      </c>
      <c r="O52" s="46" t="s">
        <v>215</v>
      </c>
      <c r="P52" s="47">
        <v>5</v>
      </c>
      <c r="Q52" s="193"/>
      <c r="R52" s="49">
        <f>$F$8*N52*'Vehicle Infos'!$L$21</f>
        <v>46.363298571428565</v>
      </c>
      <c r="S52" s="23"/>
      <c r="T52" s="23"/>
      <c r="U52" s="96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</row>
    <row r="53" spans="1:36" ht="15.75" customHeight="1" x14ac:dyDescent="0.35">
      <c r="A53" s="23"/>
      <c r="B53" s="23"/>
      <c r="C53" s="104" t="s">
        <v>167</v>
      </c>
      <c r="D53" s="105">
        <v>14</v>
      </c>
      <c r="E53" s="105">
        <v>2</v>
      </c>
      <c r="F53" s="106" t="s">
        <v>479</v>
      </c>
      <c r="G53" s="107">
        <v>5</v>
      </c>
      <c r="H53" s="181"/>
      <c r="I53" s="44">
        <f>$D$8*E53*'Vehicle Infos'!$L$10</f>
        <v>130.81541866666666</v>
      </c>
      <c r="J53" s="23"/>
      <c r="K53" s="23"/>
      <c r="L53" s="54" t="s">
        <v>162</v>
      </c>
      <c r="M53" s="49"/>
      <c r="N53" s="45">
        <f>SUM(N46:N52)</f>
        <v>18.5</v>
      </c>
      <c r="O53" s="58"/>
      <c r="P53" s="75">
        <f>SUM(P47:P52)</f>
        <v>30</v>
      </c>
      <c r="Q53" s="57"/>
      <c r="R53" s="49">
        <f>$F$8*N53*'Vehicle Infos'!$L$21</f>
        <v>285.90700785714279</v>
      </c>
      <c r="S53" s="23"/>
      <c r="T53" s="23"/>
      <c r="U53" s="96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</row>
    <row r="54" spans="1:36" ht="15.75" customHeight="1" x14ac:dyDescent="0.35">
      <c r="A54" s="23"/>
      <c r="B54" s="23"/>
      <c r="C54" s="104" t="s">
        <v>169</v>
      </c>
      <c r="D54" s="105">
        <v>14.5</v>
      </c>
      <c r="E54" s="105">
        <v>0.5</v>
      </c>
      <c r="F54" s="106" t="s">
        <v>318</v>
      </c>
      <c r="G54" s="107">
        <v>2</v>
      </c>
      <c r="H54" s="181"/>
      <c r="I54" s="44">
        <f>$D$8*E54*'Vehicle Infos'!$L$10</f>
        <v>32.703854666666665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96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</row>
    <row r="55" spans="1:36" ht="15.75" customHeight="1" x14ac:dyDescent="0.35">
      <c r="A55" s="23"/>
      <c r="B55" s="23"/>
      <c r="C55" s="104" t="s">
        <v>171</v>
      </c>
      <c r="D55" s="105">
        <v>15</v>
      </c>
      <c r="E55" s="105">
        <v>0.5</v>
      </c>
      <c r="F55" s="106" t="s">
        <v>233</v>
      </c>
      <c r="G55" s="107">
        <v>1</v>
      </c>
      <c r="H55" s="193"/>
      <c r="I55" s="44">
        <f>$D$8*E55*'Vehicle Infos'!$L$10</f>
        <v>32.703854666666665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96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</row>
    <row r="56" spans="1:36" ht="15.75" customHeight="1" x14ac:dyDescent="0.35">
      <c r="A56" s="23"/>
      <c r="B56" s="23"/>
      <c r="C56" s="70" t="s">
        <v>162</v>
      </c>
      <c r="D56" s="108"/>
      <c r="E56" s="116">
        <v>15</v>
      </c>
      <c r="F56" s="111"/>
      <c r="G56" s="110">
        <f>SUM(G47:G55)</f>
        <v>33</v>
      </c>
      <c r="H56" s="47"/>
      <c r="I56" s="44">
        <f>$D$8*E56*'Vehicle Infos'!$L$10</f>
        <v>981.11563999999998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96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</row>
    <row r="57" spans="1:36" ht="15.7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96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:36" ht="15.7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96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:36" ht="15.75" customHeight="1" x14ac:dyDescent="0.35">
      <c r="A59" s="23"/>
      <c r="B59" s="23"/>
      <c r="C59" s="32" t="s">
        <v>480</v>
      </c>
      <c r="D59" s="69"/>
      <c r="E59" s="69"/>
      <c r="F59" s="69"/>
      <c r="G59" s="69"/>
      <c r="H59" s="69"/>
      <c r="I59" s="69"/>
      <c r="J59" s="23"/>
      <c r="K59" s="23"/>
      <c r="L59" s="32" t="s">
        <v>480</v>
      </c>
      <c r="M59" s="33"/>
      <c r="N59" s="33"/>
      <c r="O59" s="33"/>
      <c r="P59" s="33"/>
      <c r="Q59" s="33"/>
      <c r="R59" s="33"/>
      <c r="S59" s="23"/>
      <c r="T59" s="23"/>
      <c r="U59" s="97" t="s">
        <v>480</v>
      </c>
      <c r="V59" s="33"/>
      <c r="W59" s="33"/>
      <c r="X59" s="33"/>
      <c r="Y59" s="33"/>
      <c r="Z59" s="33"/>
      <c r="AA59" s="3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:36" ht="81" customHeight="1" x14ac:dyDescent="0.3">
      <c r="A60" s="23"/>
      <c r="B60" s="23"/>
      <c r="C60" s="43" t="s">
        <v>176</v>
      </c>
      <c r="D60" s="38" t="s">
        <v>122</v>
      </c>
      <c r="E60" s="38" t="s">
        <v>129</v>
      </c>
      <c r="F60" s="38" t="s">
        <v>130</v>
      </c>
      <c r="G60" s="38" t="s">
        <v>131</v>
      </c>
      <c r="H60" s="39" t="s">
        <v>126</v>
      </c>
      <c r="I60" s="40" t="s">
        <v>127</v>
      </c>
      <c r="J60" s="23"/>
      <c r="K60" s="23"/>
      <c r="L60" s="43" t="s">
        <v>177</v>
      </c>
      <c r="M60" s="38" t="s">
        <v>122</v>
      </c>
      <c r="N60" s="38" t="s">
        <v>129</v>
      </c>
      <c r="O60" s="38" t="s">
        <v>130</v>
      </c>
      <c r="P60" s="38" t="s">
        <v>131</v>
      </c>
      <c r="Q60" s="39" t="s">
        <v>126</v>
      </c>
      <c r="R60" s="40" t="s">
        <v>127</v>
      </c>
      <c r="S60" s="23"/>
      <c r="T60" s="23"/>
      <c r="U60" s="43" t="s">
        <v>178</v>
      </c>
      <c r="V60" s="38" t="s">
        <v>122</v>
      </c>
      <c r="W60" s="38" t="s">
        <v>129</v>
      </c>
      <c r="X60" s="38" t="s">
        <v>130</v>
      </c>
      <c r="Y60" s="38" t="s">
        <v>131</v>
      </c>
      <c r="Z60" s="39" t="s">
        <v>126</v>
      </c>
      <c r="AA60" s="40" t="s">
        <v>127</v>
      </c>
      <c r="AB60" s="23"/>
      <c r="AC60" s="23"/>
      <c r="AD60" s="23"/>
      <c r="AE60" s="23"/>
      <c r="AF60" s="23"/>
      <c r="AG60" s="23"/>
      <c r="AH60" s="23"/>
      <c r="AI60" s="23"/>
      <c r="AJ60" s="23"/>
    </row>
    <row r="61" spans="1:36" ht="15.75" customHeight="1" x14ac:dyDescent="0.35">
      <c r="A61" s="23"/>
      <c r="B61" s="23"/>
      <c r="C61" s="44" t="s">
        <v>133</v>
      </c>
      <c r="D61" s="45">
        <v>0</v>
      </c>
      <c r="E61" s="45">
        <v>0</v>
      </c>
      <c r="F61" s="46" t="s">
        <v>238</v>
      </c>
      <c r="G61" s="47"/>
      <c r="H61" s="194">
        <f>D9*D3*'Vehicle Infos'!K10</f>
        <v>1184.55</v>
      </c>
      <c r="I61" s="44">
        <f>$D$9*E61*'Vehicle Infos'!$L$10</f>
        <v>0</v>
      </c>
      <c r="J61" s="23"/>
      <c r="K61" s="23"/>
      <c r="L61" s="44" t="s">
        <v>135</v>
      </c>
      <c r="M61" s="48">
        <v>0</v>
      </c>
      <c r="N61" s="47">
        <v>0</v>
      </c>
      <c r="O61" s="46" t="s">
        <v>216</v>
      </c>
      <c r="P61" s="47"/>
      <c r="Q61" s="194">
        <f>F9*F3*'Vehicle Infos'!K21</f>
        <v>868.12604999999985</v>
      </c>
      <c r="R61" s="49">
        <f>$F$9*N61*'Vehicle Infos'!$L$21</f>
        <v>0</v>
      </c>
      <c r="S61" s="23"/>
      <c r="T61" s="23"/>
      <c r="U61" s="101" t="s">
        <v>136</v>
      </c>
      <c r="V61" s="48">
        <v>0</v>
      </c>
      <c r="W61" s="47">
        <v>0</v>
      </c>
      <c r="X61" s="46" t="s">
        <v>216</v>
      </c>
      <c r="Y61" s="47">
        <v>0</v>
      </c>
      <c r="Z61" s="194">
        <f>G9*G3*'Vehicle Infos'!K29</f>
        <v>237.59999999999997</v>
      </c>
      <c r="AA61" s="49">
        <f>$G$9*W61*'Vehicle Infos'!$L$29</f>
        <v>0</v>
      </c>
      <c r="AB61" s="23"/>
      <c r="AC61" s="23"/>
      <c r="AD61" s="23"/>
      <c r="AE61" s="23"/>
      <c r="AF61" s="23"/>
      <c r="AG61" s="23"/>
      <c r="AH61" s="23"/>
      <c r="AI61" s="23"/>
      <c r="AJ61" s="23"/>
    </row>
    <row r="62" spans="1:36" ht="15.75" customHeight="1" x14ac:dyDescent="0.35">
      <c r="A62" s="23"/>
      <c r="B62" s="23"/>
      <c r="C62" s="44" t="s">
        <v>137</v>
      </c>
      <c r="D62" s="45">
        <v>7.5</v>
      </c>
      <c r="E62" s="45">
        <v>7.5</v>
      </c>
      <c r="F62" s="46" t="s">
        <v>239</v>
      </c>
      <c r="G62" s="47">
        <v>7</v>
      </c>
      <c r="H62" s="181"/>
      <c r="I62" s="44">
        <f>$D$9*E62*'Vehicle Infos'!$L$10</f>
        <v>287.76817</v>
      </c>
      <c r="J62" s="23"/>
      <c r="K62" s="23"/>
      <c r="L62" s="44" t="s">
        <v>139</v>
      </c>
      <c r="M62" s="48">
        <v>1</v>
      </c>
      <c r="N62" s="47">
        <v>1</v>
      </c>
      <c r="O62" s="46" t="s">
        <v>240</v>
      </c>
      <c r="P62" s="47">
        <v>2</v>
      </c>
      <c r="Q62" s="181"/>
      <c r="R62" s="49">
        <f>$F$9*N62*'Vehicle Infos'!$L$21</f>
        <v>15.09079914285714</v>
      </c>
      <c r="S62" s="23"/>
      <c r="T62" s="23"/>
      <c r="U62" s="101" t="s">
        <v>141</v>
      </c>
      <c r="V62" s="48">
        <v>3</v>
      </c>
      <c r="W62" s="51">
        <v>3</v>
      </c>
      <c r="X62" s="46" t="s">
        <v>219</v>
      </c>
      <c r="Y62" s="47">
        <v>5</v>
      </c>
      <c r="Z62" s="181"/>
      <c r="AA62" s="49">
        <f>$G$9*W62*'Vehicle Infos'!$L$29</f>
        <v>15.038115000000001</v>
      </c>
      <c r="AB62" s="23"/>
      <c r="AC62" s="23"/>
      <c r="AD62" s="23"/>
      <c r="AE62" s="23"/>
      <c r="AF62" s="23"/>
      <c r="AG62" s="23"/>
      <c r="AH62" s="23"/>
      <c r="AI62" s="23"/>
      <c r="AJ62" s="23"/>
    </row>
    <row r="63" spans="1:36" ht="15.75" customHeight="1" x14ac:dyDescent="0.35">
      <c r="A63" s="23"/>
      <c r="B63" s="23"/>
      <c r="C63" s="44" t="s">
        <v>143</v>
      </c>
      <c r="D63" s="45">
        <v>8</v>
      </c>
      <c r="E63" s="45">
        <v>0.5</v>
      </c>
      <c r="F63" s="46" t="s">
        <v>481</v>
      </c>
      <c r="G63" s="47">
        <v>2</v>
      </c>
      <c r="H63" s="181"/>
      <c r="I63" s="44">
        <f>$D$9*E63*'Vehicle Infos'!$L$10</f>
        <v>19.184544666666667</v>
      </c>
      <c r="J63" s="23"/>
      <c r="K63" s="23"/>
      <c r="L63" s="44" t="s">
        <v>145</v>
      </c>
      <c r="M63" s="48">
        <v>2.5</v>
      </c>
      <c r="N63" s="51">
        <v>1.5</v>
      </c>
      <c r="O63" s="46" t="s">
        <v>241</v>
      </c>
      <c r="P63" s="47">
        <v>4</v>
      </c>
      <c r="Q63" s="181"/>
      <c r="R63" s="49">
        <f>$F$9*N63*'Vehicle Infos'!$L$21</f>
        <v>22.636198714285712</v>
      </c>
      <c r="S63" s="23"/>
      <c r="T63" s="23"/>
      <c r="U63" s="101" t="s">
        <v>146</v>
      </c>
      <c r="V63" s="48">
        <v>5.5</v>
      </c>
      <c r="W63" s="51">
        <v>2.5</v>
      </c>
      <c r="X63" s="46" t="s">
        <v>432</v>
      </c>
      <c r="Y63" s="47">
        <v>8</v>
      </c>
      <c r="Z63" s="181"/>
      <c r="AA63" s="49">
        <f>$G$9*W63*'Vehicle Infos'!$L$29</f>
        <v>12.531762500000001</v>
      </c>
      <c r="AB63" s="23"/>
      <c r="AC63" s="23"/>
      <c r="AD63" s="23"/>
      <c r="AE63" s="23"/>
      <c r="AF63" s="23"/>
      <c r="AG63" s="23"/>
      <c r="AH63" s="23"/>
      <c r="AI63" s="23"/>
      <c r="AJ63" s="23"/>
    </row>
    <row r="64" spans="1:36" ht="15.75" customHeight="1" x14ac:dyDescent="0.35">
      <c r="A64" s="23"/>
      <c r="B64" s="23"/>
      <c r="C64" s="44" t="s">
        <v>148</v>
      </c>
      <c r="D64" s="45">
        <v>9</v>
      </c>
      <c r="E64" s="45">
        <v>1</v>
      </c>
      <c r="F64" s="46" t="s">
        <v>482</v>
      </c>
      <c r="G64" s="47">
        <v>3</v>
      </c>
      <c r="H64" s="181"/>
      <c r="I64" s="44">
        <f>$D$9*E64*'Vehicle Infos'!$L$10</f>
        <v>38.369089333333335</v>
      </c>
      <c r="J64" s="23"/>
      <c r="K64" s="23"/>
      <c r="L64" s="44" t="s">
        <v>150</v>
      </c>
      <c r="M64" s="48">
        <v>9</v>
      </c>
      <c r="N64" s="51">
        <v>6.5</v>
      </c>
      <c r="O64" s="46" t="s">
        <v>434</v>
      </c>
      <c r="P64" s="47">
        <v>10</v>
      </c>
      <c r="Q64" s="181"/>
      <c r="R64" s="49">
        <f>$F$9*N64*'Vehicle Infos'!$L$21</f>
        <v>98.090194428571408</v>
      </c>
      <c r="S64" s="23"/>
      <c r="T64" s="23"/>
      <c r="U64" s="101" t="s">
        <v>151</v>
      </c>
      <c r="V64" s="48">
        <v>7.5</v>
      </c>
      <c r="W64" s="51">
        <v>2</v>
      </c>
      <c r="X64" s="46" t="s">
        <v>248</v>
      </c>
      <c r="Y64" s="47">
        <v>11</v>
      </c>
      <c r="Z64" s="181"/>
      <c r="AA64" s="49">
        <f>$G$9*W64*'Vehicle Infos'!$L$29</f>
        <v>10.025410000000001</v>
      </c>
      <c r="AB64" s="23"/>
      <c r="AC64" s="23"/>
      <c r="AD64" s="23"/>
      <c r="AE64" s="23"/>
      <c r="AF64" s="23"/>
      <c r="AG64" s="23"/>
      <c r="AH64" s="23"/>
      <c r="AI64" s="23"/>
      <c r="AJ64" s="23"/>
    </row>
    <row r="65" spans="1:36" ht="15.75" customHeight="1" x14ac:dyDescent="0.35">
      <c r="A65" s="23"/>
      <c r="B65" s="23"/>
      <c r="C65" s="44" t="s">
        <v>153</v>
      </c>
      <c r="D65" s="45">
        <v>10</v>
      </c>
      <c r="E65" s="45">
        <v>1</v>
      </c>
      <c r="F65" s="46" t="s">
        <v>433</v>
      </c>
      <c r="G65" s="47">
        <v>4</v>
      </c>
      <c r="H65" s="181"/>
      <c r="I65" s="44">
        <f>$D$9*E65*'Vehicle Infos'!$L$10</f>
        <v>38.369089333333335</v>
      </c>
      <c r="J65" s="23"/>
      <c r="K65" s="23"/>
      <c r="L65" s="44" t="s">
        <v>155</v>
      </c>
      <c r="M65" s="48">
        <v>12</v>
      </c>
      <c r="N65" s="51">
        <v>3</v>
      </c>
      <c r="O65" s="46" t="s">
        <v>483</v>
      </c>
      <c r="P65" s="47">
        <v>5</v>
      </c>
      <c r="Q65" s="181"/>
      <c r="R65" s="49">
        <f>$F$9*N65*'Vehicle Infos'!$L$21</f>
        <v>45.272397428571423</v>
      </c>
      <c r="S65" s="23"/>
      <c r="T65" s="23"/>
      <c r="U65" s="101" t="s">
        <v>156</v>
      </c>
      <c r="V65" s="48">
        <v>12</v>
      </c>
      <c r="W65" s="51">
        <v>4.5</v>
      </c>
      <c r="X65" s="46" t="s">
        <v>484</v>
      </c>
      <c r="Y65" s="47">
        <v>28</v>
      </c>
      <c r="Z65" s="193"/>
      <c r="AA65" s="49">
        <f>$G$9*W65*'Vehicle Infos'!$L$29</f>
        <v>22.5571725</v>
      </c>
      <c r="AB65" s="23"/>
      <c r="AC65" s="23"/>
      <c r="AD65" s="23"/>
      <c r="AE65" s="23"/>
      <c r="AF65" s="23"/>
      <c r="AG65" s="23"/>
      <c r="AH65" s="23"/>
      <c r="AI65" s="23"/>
      <c r="AJ65" s="23"/>
    </row>
    <row r="66" spans="1:36" ht="15.75" customHeight="1" x14ac:dyDescent="0.35">
      <c r="A66" s="23"/>
      <c r="B66" s="23"/>
      <c r="C66" s="44" t="s">
        <v>158</v>
      </c>
      <c r="D66" s="45">
        <v>11</v>
      </c>
      <c r="E66" s="45">
        <v>1</v>
      </c>
      <c r="F66" s="46" t="s">
        <v>485</v>
      </c>
      <c r="G66" s="47">
        <v>9</v>
      </c>
      <c r="H66" s="181"/>
      <c r="I66" s="44">
        <f>$D$9*E66*'Vehicle Infos'!$L$10</f>
        <v>38.369089333333335</v>
      </c>
      <c r="J66" s="23"/>
      <c r="K66" s="23"/>
      <c r="L66" s="44" t="s">
        <v>160</v>
      </c>
      <c r="M66" s="48">
        <v>15.5</v>
      </c>
      <c r="N66" s="51">
        <v>3.5</v>
      </c>
      <c r="O66" s="46" t="s">
        <v>325</v>
      </c>
      <c r="P66" s="47">
        <v>8</v>
      </c>
      <c r="Q66" s="181"/>
      <c r="R66" s="49">
        <f>$F$9*N66*'Vehicle Infos'!$L$21</f>
        <v>52.817796999999992</v>
      </c>
      <c r="S66" s="23"/>
      <c r="T66" s="23"/>
      <c r="U66" s="102" t="s">
        <v>162</v>
      </c>
      <c r="V66" s="48"/>
      <c r="W66" s="51">
        <f>SUM(W61:W65)</f>
        <v>12</v>
      </c>
      <c r="X66" s="46"/>
      <c r="Y66" s="75">
        <f>SUM(Y61:Y65)</f>
        <v>52</v>
      </c>
      <c r="Z66" s="57"/>
      <c r="AA66" s="49">
        <f>$G$9*W66*'Vehicle Infos'!$L$29</f>
        <v>60.152460000000005</v>
      </c>
      <c r="AB66" s="23"/>
      <c r="AC66" s="23"/>
      <c r="AD66" s="23"/>
      <c r="AE66" s="23"/>
      <c r="AF66" s="23"/>
      <c r="AG66" s="23"/>
      <c r="AH66" s="23"/>
      <c r="AI66" s="23"/>
      <c r="AJ66" s="23"/>
    </row>
    <row r="67" spans="1:36" ht="15.75" customHeight="1" x14ac:dyDescent="0.35">
      <c r="A67" s="23"/>
      <c r="B67" s="23"/>
      <c r="C67" s="44" t="s">
        <v>163</v>
      </c>
      <c r="D67" s="45">
        <v>12</v>
      </c>
      <c r="E67" s="45">
        <v>1</v>
      </c>
      <c r="F67" s="46" t="s">
        <v>486</v>
      </c>
      <c r="G67" s="47">
        <v>3</v>
      </c>
      <c r="H67" s="181"/>
      <c r="I67" s="44">
        <f>$D$9*E67*'Vehicle Infos'!$L$10</f>
        <v>38.369089333333335</v>
      </c>
      <c r="J67" s="23"/>
      <c r="K67" s="23"/>
      <c r="L67" s="44" t="s">
        <v>165</v>
      </c>
      <c r="M67" s="48">
        <v>18.5</v>
      </c>
      <c r="N67" s="51">
        <v>3</v>
      </c>
      <c r="O67" s="46" t="s">
        <v>481</v>
      </c>
      <c r="P67" s="47">
        <v>10</v>
      </c>
      <c r="Q67" s="193"/>
      <c r="R67" s="49">
        <f>$F$9*N67*'Vehicle Infos'!$L$21</f>
        <v>45.272397428571423</v>
      </c>
      <c r="S67" s="23"/>
      <c r="T67" s="23"/>
      <c r="U67" s="96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</row>
    <row r="68" spans="1:36" ht="15.75" customHeight="1" x14ac:dyDescent="0.35">
      <c r="A68" s="23"/>
      <c r="B68" s="23"/>
      <c r="C68" s="44" t="s">
        <v>167</v>
      </c>
      <c r="D68" s="45">
        <v>14</v>
      </c>
      <c r="E68" s="45">
        <v>2</v>
      </c>
      <c r="F68" s="46" t="s">
        <v>377</v>
      </c>
      <c r="G68" s="47">
        <v>7</v>
      </c>
      <c r="H68" s="181"/>
      <c r="I68" s="44">
        <f>$D$9*E68*'Vehicle Infos'!$L$10</f>
        <v>76.73817866666667</v>
      </c>
      <c r="J68" s="23"/>
      <c r="K68" s="23"/>
      <c r="L68" s="54" t="s">
        <v>162</v>
      </c>
      <c r="M68" s="49"/>
      <c r="N68" s="45">
        <f>SUM(N61:N67)</f>
        <v>18.5</v>
      </c>
      <c r="O68" s="58"/>
      <c r="P68" s="75">
        <f>SUM(P62:P67)</f>
        <v>39</v>
      </c>
      <c r="Q68" s="57"/>
      <c r="R68" s="49">
        <f>$F$9*N68*'Vehicle Infos'!$L$21</f>
        <v>279.1797841428571</v>
      </c>
      <c r="S68" s="23"/>
      <c r="T68" s="23"/>
      <c r="U68" s="96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</row>
    <row r="69" spans="1:36" ht="15.75" customHeight="1" x14ac:dyDescent="0.35">
      <c r="A69" s="23"/>
      <c r="B69" s="23"/>
      <c r="C69" s="44" t="s">
        <v>169</v>
      </c>
      <c r="D69" s="45">
        <v>14.5</v>
      </c>
      <c r="E69" s="45">
        <v>0.5</v>
      </c>
      <c r="F69" s="46" t="s">
        <v>487</v>
      </c>
      <c r="G69" s="47">
        <v>3</v>
      </c>
      <c r="H69" s="181"/>
      <c r="I69" s="44">
        <f>$D$9*E69*'Vehicle Infos'!$L$10</f>
        <v>19.184544666666667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96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spans="1:36" ht="15.75" customHeight="1" x14ac:dyDescent="0.35">
      <c r="A70" s="23"/>
      <c r="B70" s="23"/>
      <c r="C70" s="44" t="s">
        <v>171</v>
      </c>
      <c r="D70" s="45">
        <v>15</v>
      </c>
      <c r="E70" s="45">
        <v>0.5</v>
      </c>
      <c r="F70" s="46" t="s">
        <v>383</v>
      </c>
      <c r="G70" s="47">
        <v>2</v>
      </c>
      <c r="H70" s="193"/>
      <c r="I70" s="44">
        <f>$D$9*E70*'Vehicle Infos'!$L$10</f>
        <v>19.184544666666667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96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:36" ht="15.75" customHeight="1" x14ac:dyDescent="0.35">
      <c r="A71" s="23"/>
      <c r="B71" s="23"/>
      <c r="C71" s="54" t="s">
        <v>162</v>
      </c>
      <c r="D71" s="49"/>
      <c r="E71" s="45">
        <v>15</v>
      </c>
      <c r="F71" s="58"/>
      <c r="G71" s="75">
        <f>SUM(G62:G70)</f>
        <v>40</v>
      </c>
      <c r="H71" s="47"/>
      <c r="I71" s="44">
        <f>$D$9*E71*'Vehicle Infos'!$L$10</f>
        <v>575.53634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96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1:36" ht="15.7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96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ht="15.7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96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ht="15.75" customHeight="1" x14ac:dyDescent="0.35">
      <c r="A74" s="23"/>
      <c r="B74" s="23"/>
      <c r="C74" s="32" t="s">
        <v>488</v>
      </c>
      <c r="D74" s="69"/>
      <c r="E74" s="69"/>
      <c r="F74" s="69"/>
      <c r="G74" s="69"/>
      <c r="H74" s="69"/>
      <c r="I74" s="69"/>
      <c r="J74" s="23"/>
      <c r="K74" s="23"/>
      <c r="L74" s="32" t="s">
        <v>488</v>
      </c>
      <c r="M74" s="33"/>
      <c r="N74" s="33"/>
      <c r="O74" s="33"/>
      <c r="P74" s="33"/>
      <c r="Q74" s="33"/>
      <c r="R74" s="33"/>
      <c r="S74" s="23"/>
      <c r="T74" s="23"/>
      <c r="U74" s="97" t="s">
        <v>488</v>
      </c>
      <c r="V74" s="33"/>
      <c r="W74" s="33"/>
      <c r="X74" s="33"/>
      <c r="Y74" s="33"/>
      <c r="Z74" s="33"/>
      <c r="AA74" s="33"/>
      <c r="AB74" s="23"/>
      <c r="AC74" s="23"/>
      <c r="AD74" s="23"/>
      <c r="AE74" s="23"/>
      <c r="AF74" s="23"/>
      <c r="AG74" s="23"/>
      <c r="AH74" s="23"/>
      <c r="AI74" s="23"/>
      <c r="AJ74" s="23"/>
    </row>
    <row r="75" spans="1:36" ht="81" customHeight="1" x14ac:dyDescent="0.3">
      <c r="A75" s="23"/>
      <c r="B75" s="23"/>
      <c r="C75" s="43" t="s">
        <v>176</v>
      </c>
      <c r="D75" s="38" t="s">
        <v>122</v>
      </c>
      <c r="E75" s="38" t="s">
        <v>129</v>
      </c>
      <c r="F75" s="38" t="s">
        <v>130</v>
      </c>
      <c r="G75" s="38" t="s">
        <v>131</v>
      </c>
      <c r="H75" s="39" t="s">
        <v>126</v>
      </c>
      <c r="I75" s="40" t="s">
        <v>127</v>
      </c>
      <c r="J75" s="23"/>
      <c r="K75" s="23"/>
      <c r="L75" s="43" t="s">
        <v>177</v>
      </c>
      <c r="M75" s="38" t="s">
        <v>122</v>
      </c>
      <c r="N75" s="38" t="s">
        <v>129</v>
      </c>
      <c r="O75" s="38" t="s">
        <v>130</v>
      </c>
      <c r="P75" s="38" t="s">
        <v>131</v>
      </c>
      <c r="Q75" s="39" t="s">
        <v>126</v>
      </c>
      <c r="R75" s="40" t="s">
        <v>127</v>
      </c>
      <c r="S75" s="23"/>
      <c r="T75" s="23"/>
      <c r="U75" s="43" t="s">
        <v>178</v>
      </c>
      <c r="V75" s="38" t="s">
        <v>122</v>
      </c>
      <c r="W75" s="38" t="s">
        <v>129</v>
      </c>
      <c r="X75" s="38" t="s">
        <v>130</v>
      </c>
      <c r="Y75" s="38" t="s">
        <v>131</v>
      </c>
      <c r="Z75" s="39" t="s">
        <v>126</v>
      </c>
      <c r="AA75" s="40" t="s">
        <v>127</v>
      </c>
      <c r="AB75" s="23"/>
      <c r="AC75" s="23"/>
      <c r="AD75" s="23"/>
      <c r="AE75" s="23"/>
      <c r="AF75" s="23"/>
      <c r="AG75" s="23"/>
      <c r="AH75" s="23"/>
      <c r="AI75" s="23"/>
      <c r="AJ75" s="23"/>
    </row>
    <row r="76" spans="1:36" ht="15.75" customHeight="1" x14ac:dyDescent="0.35">
      <c r="A76" s="23"/>
      <c r="B76" s="23"/>
      <c r="C76" s="44" t="s">
        <v>133</v>
      </c>
      <c r="D76" s="45">
        <v>0</v>
      </c>
      <c r="E76" s="45">
        <v>0</v>
      </c>
      <c r="F76" s="46" t="s">
        <v>259</v>
      </c>
      <c r="G76" s="47"/>
      <c r="H76" s="194">
        <f>D10*D3*'Vehicle Infos'!K10</f>
        <v>946.05000000000007</v>
      </c>
      <c r="I76" s="44">
        <f>$D$10*E76*'Vehicle Infos'!$L$10</f>
        <v>0</v>
      </c>
      <c r="J76" s="23"/>
      <c r="K76" s="23"/>
      <c r="L76" s="44" t="s">
        <v>135</v>
      </c>
      <c r="M76" s="48">
        <v>0</v>
      </c>
      <c r="N76" s="47">
        <v>0</v>
      </c>
      <c r="O76" s="46" t="s">
        <v>489</v>
      </c>
      <c r="P76" s="47"/>
      <c r="Q76" s="194">
        <f>F10*F3*'Vehicle Infos'!K21</f>
        <v>261.48374999999999</v>
      </c>
      <c r="R76" s="49">
        <f>$F$10*N76*'Vehicle Infos'!$L$21</f>
        <v>0</v>
      </c>
      <c r="S76" s="23"/>
      <c r="T76" s="23"/>
      <c r="U76" s="101" t="s">
        <v>136</v>
      </c>
      <c r="V76" s="48">
        <v>0</v>
      </c>
      <c r="W76" s="47">
        <v>0</v>
      </c>
      <c r="X76" s="46" t="s">
        <v>489</v>
      </c>
      <c r="Y76" s="47">
        <v>0</v>
      </c>
      <c r="Z76" s="194">
        <f>G10*G3*'Vehicle Infos'!K29</f>
        <v>197.99999999999997</v>
      </c>
      <c r="AA76" s="49">
        <f>$G$10*W76*'Vehicle Infos'!$L$29</f>
        <v>0</v>
      </c>
      <c r="AB76" s="23"/>
      <c r="AC76" s="23"/>
      <c r="AD76" s="23"/>
      <c r="AE76" s="23"/>
      <c r="AF76" s="23"/>
      <c r="AG76" s="23"/>
      <c r="AH76" s="23"/>
      <c r="AI76" s="23"/>
      <c r="AJ76" s="23"/>
    </row>
    <row r="77" spans="1:36" ht="15.75" customHeight="1" x14ac:dyDescent="0.35">
      <c r="A77" s="23"/>
      <c r="B77" s="23"/>
      <c r="C77" s="44" t="s">
        <v>137</v>
      </c>
      <c r="D77" s="45">
        <v>7.5</v>
      </c>
      <c r="E77" s="45">
        <v>7.5</v>
      </c>
      <c r="F77" s="46" t="s">
        <v>264</v>
      </c>
      <c r="G77" s="47">
        <v>7</v>
      </c>
      <c r="H77" s="181"/>
      <c r="I77" s="44">
        <f>$D$10*E77*'Vehicle Infos'!$L$10</f>
        <v>229.82827</v>
      </c>
      <c r="J77" s="23"/>
      <c r="K77" s="23"/>
      <c r="L77" s="44" t="s">
        <v>139</v>
      </c>
      <c r="M77" s="48">
        <v>1</v>
      </c>
      <c r="N77" s="47">
        <v>1</v>
      </c>
      <c r="O77" s="46" t="s">
        <v>490</v>
      </c>
      <c r="P77" s="47">
        <v>2</v>
      </c>
      <c r="Q77" s="181"/>
      <c r="R77" s="49">
        <f>$F$10*N77*'Vehicle Infos'!$L$21</f>
        <v>4.5454214285714283</v>
      </c>
      <c r="S77" s="23"/>
      <c r="T77" s="23"/>
      <c r="U77" s="101" t="s">
        <v>141</v>
      </c>
      <c r="V77" s="48">
        <v>3</v>
      </c>
      <c r="W77" s="51">
        <v>3</v>
      </c>
      <c r="X77" s="46" t="s">
        <v>491</v>
      </c>
      <c r="Y77" s="47">
        <v>6</v>
      </c>
      <c r="Z77" s="181"/>
      <c r="AA77" s="49">
        <f>$G$10*W77*'Vehicle Infos'!$L$29</f>
        <v>12.531762500000001</v>
      </c>
      <c r="AB77" s="23"/>
      <c r="AC77" s="23"/>
      <c r="AD77" s="23"/>
      <c r="AE77" s="23"/>
      <c r="AF77" s="23"/>
      <c r="AG77" s="23"/>
      <c r="AH77" s="23"/>
      <c r="AI77" s="23"/>
      <c r="AJ77" s="23"/>
    </row>
    <row r="78" spans="1:36" ht="15.75" customHeight="1" x14ac:dyDescent="0.35">
      <c r="A78" s="23"/>
      <c r="B78" s="23"/>
      <c r="C78" s="44" t="s">
        <v>143</v>
      </c>
      <c r="D78" s="45">
        <v>8</v>
      </c>
      <c r="E78" s="45">
        <v>0.5</v>
      </c>
      <c r="F78" s="46" t="s">
        <v>445</v>
      </c>
      <c r="G78" s="47">
        <v>2</v>
      </c>
      <c r="H78" s="181"/>
      <c r="I78" s="44">
        <f>$D$10*E78*'Vehicle Infos'!$L$10</f>
        <v>15.321884666666666</v>
      </c>
      <c r="J78" s="23"/>
      <c r="K78" s="23"/>
      <c r="L78" s="44" t="s">
        <v>145</v>
      </c>
      <c r="M78" s="48">
        <v>2.5</v>
      </c>
      <c r="N78" s="51">
        <v>1.5</v>
      </c>
      <c r="O78" s="46" t="s">
        <v>491</v>
      </c>
      <c r="P78" s="47">
        <v>4</v>
      </c>
      <c r="Q78" s="181"/>
      <c r="R78" s="49">
        <f>$F$10*N78*'Vehicle Infos'!$L$21</f>
        <v>6.8181321428571415</v>
      </c>
      <c r="S78" s="23"/>
      <c r="T78" s="23"/>
      <c r="U78" s="101" t="s">
        <v>146</v>
      </c>
      <c r="V78" s="48">
        <v>5.5</v>
      </c>
      <c r="W78" s="51">
        <v>2.5</v>
      </c>
      <c r="X78" s="46" t="s">
        <v>492</v>
      </c>
      <c r="Y78" s="47">
        <v>6</v>
      </c>
      <c r="Z78" s="181"/>
      <c r="AA78" s="49">
        <f>$G$10*W78*'Vehicle Infos'!$L$29</f>
        <v>10.443135416666667</v>
      </c>
      <c r="AB78" s="23"/>
      <c r="AC78" s="23"/>
      <c r="AD78" s="23"/>
      <c r="AE78" s="23"/>
      <c r="AF78" s="23"/>
      <c r="AG78" s="23"/>
      <c r="AH78" s="23"/>
      <c r="AI78" s="23"/>
      <c r="AJ78" s="23"/>
    </row>
    <row r="79" spans="1:36" ht="15.75" customHeight="1" x14ac:dyDescent="0.35">
      <c r="A79" s="23"/>
      <c r="B79" s="23"/>
      <c r="C79" s="44" t="s">
        <v>148</v>
      </c>
      <c r="D79" s="45">
        <v>9</v>
      </c>
      <c r="E79" s="45">
        <v>1</v>
      </c>
      <c r="F79" s="46" t="s">
        <v>493</v>
      </c>
      <c r="G79" s="47">
        <v>2</v>
      </c>
      <c r="H79" s="181"/>
      <c r="I79" s="44">
        <f>$D$10*E79*'Vehicle Infos'!$L$10</f>
        <v>30.643769333333331</v>
      </c>
      <c r="J79" s="23"/>
      <c r="K79" s="23"/>
      <c r="L79" s="44" t="s">
        <v>150</v>
      </c>
      <c r="M79" s="48">
        <v>9</v>
      </c>
      <c r="N79" s="51">
        <v>6.5</v>
      </c>
      <c r="O79" s="46" t="s">
        <v>494</v>
      </c>
      <c r="P79" s="47">
        <v>9</v>
      </c>
      <c r="Q79" s="181"/>
      <c r="R79" s="49">
        <f>$F$10*N79*'Vehicle Infos'!$L$21</f>
        <v>29.545239285714281</v>
      </c>
      <c r="S79" s="23"/>
      <c r="T79" s="23"/>
      <c r="U79" s="101" t="s">
        <v>151</v>
      </c>
      <c r="V79" s="48">
        <v>7.5</v>
      </c>
      <c r="W79" s="51">
        <v>2</v>
      </c>
      <c r="X79" s="46" t="s">
        <v>495</v>
      </c>
      <c r="Y79" s="47">
        <v>8</v>
      </c>
      <c r="Z79" s="181"/>
      <c r="AA79" s="49">
        <f>$G$10*W79*'Vehicle Infos'!$L$29</f>
        <v>8.3545083333333334</v>
      </c>
      <c r="AB79" s="23"/>
      <c r="AC79" s="23"/>
      <c r="AD79" s="23"/>
      <c r="AE79" s="23"/>
      <c r="AF79" s="23"/>
      <c r="AG79" s="23"/>
      <c r="AH79" s="23"/>
      <c r="AI79" s="23"/>
      <c r="AJ79" s="23"/>
    </row>
    <row r="80" spans="1:36" ht="15.75" customHeight="1" x14ac:dyDescent="0.35">
      <c r="A80" s="23"/>
      <c r="B80" s="23"/>
      <c r="C80" s="44" t="s">
        <v>153</v>
      </c>
      <c r="D80" s="45">
        <v>10</v>
      </c>
      <c r="E80" s="45">
        <v>1</v>
      </c>
      <c r="F80" s="46" t="s">
        <v>392</v>
      </c>
      <c r="G80" s="47">
        <v>4</v>
      </c>
      <c r="H80" s="181"/>
      <c r="I80" s="44">
        <f>$D$10*E80*'Vehicle Infos'!$L$10</f>
        <v>30.643769333333331</v>
      </c>
      <c r="J80" s="23"/>
      <c r="K80" s="23"/>
      <c r="L80" s="44" t="s">
        <v>155</v>
      </c>
      <c r="M80" s="48">
        <v>12</v>
      </c>
      <c r="N80" s="51">
        <v>3</v>
      </c>
      <c r="O80" s="46" t="s">
        <v>495</v>
      </c>
      <c r="P80" s="47">
        <v>5</v>
      </c>
      <c r="Q80" s="181"/>
      <c r="R80" s="49">
        <f>$F$10*N80*'Vehicle Infos'!$L$21</f>
        <v>13.636264285714283</v>
      </c>
      <c r="S80" s="23"/>
      <c r="T80" s="23"/>
      <c r="U80" s="101" t="s">
        <v>156</v>
      </c>
      <c r="V80" s="48">
        <v>12</v>
      </c>
      <c r="W80" s="51">
        <v>4.5</v>
      </c>
      <c r="X80" s="46" t="s">
        <v>496</v>
      </c>
      <c r="Y80" s="47">
        <v>18</v>
      </c>
      <c r="Z80" s="193"/>
      <c r="AA80" s="49">
        <f>$G$10*W80*'Vehicle Infos'!$L$29</f>
        <v>18.797643750000002</v>
      </c>
      <c r="AB80" s="23"/>
      <c r="AC80" s="23"/>
      <c r="AD80" s="23"/>
      <c r="AE80" s="23"/>
      <c r="AF80" s="23"/>
      <c r="AG80" s="23"/>
      <c r="AH80" s="23"/>
      <c r="AI80" s="23"/>
      <c r="AJ80" s="23"/>
    </row>
    <row r="81" spans="1:36" ht="15.75" customHeight="1" x14ac:dyDescent="0.35">
      <c r="A81" s="23"/>
      <c r="B81" s="23"/>
      <c r="C81" s="44" t="s">
        <v>158</v>
      </c>
      <c r="D81" s="45">
        <v>11</v>
      </c>
      <c r="E81" s="45">
        <v>1</v>
      </c>
      <c r="F81" s="46" t="s">
        <v>268</v>
      </c>
      <c r="G81" s="47">
        <v>6</v>
      </c>
      <c r="H81" s="181"/>
      <c r="I81" s="44">
        <f>$D$10*E81*'Vehicle Infos'!$L$10</f>
        <v>30.643769333333331</v>
      </c>
      <c r="J81" s="23"/>
      <c r="K81" s="23"/>
      <c r="L81" s="44" t="s">
        <v>160</v>
      </c>
      <c r="M81" s="48">
        <v>15.5</v>
      </c>
      <c r="N81" s="51">
        <v>3.5</v>
      </c>
      <c r="O81" s="46" t="s">
        <v>497</v>
      </c>
      <c r="P81" s="47">
        <v>5</v>
      </c>
      <c r="Q81" s="181"/>
      <c r="R81" s="49">
        <f>$F$10*N81*'Vehicle Infos'!$L$21</f>
        <v>15.908974999999998</v>
      </c>
      <c r="S81" s="23"/>
      <c r="T81" s="23"/>
      <c r="U81" s="102" t="s">
        <v>162</v>
      </c>
      <c r="V81" s="48"/>
      <c r="W81" s="51">
        <f>SUM(W76:W80)</f>
        <v>12</v>
      </c>
      <c r="X81" s="46"/>
      <c r="Y81" s="75">
        <f>SUM(Y76:Y80)</f>
        <v>38</v>
      </c>
      <c r="Z81" s="57"/>
      <c r="AA81" s="49">
        <f>$G$10*W81*'Vehicle Infos'!$L$29</f>
        <v>50.127050000000004</v>
      </c>
      <c r="AB81" s="23"/>
      <c r="AC81" s="23"/>
      <c r="AD81" s="23"/>
      <c r="AE81" s="23"/>
      <c r="AF81" s="23"/>
      <c r="AG81" s="23"/>
      <c r="AH81" s="23"/>
      <c r="AI81" s="23"/>
      <c r="AJ81" s="23"/>
    </row>
    <row r="82" spans="1:36" ht="15.75" customHeight="1" x14ac:dyDescent="0.35">
      <c r="A82" s="23"/>
      <c r="B82" s="23"/>
      <c r="C82" s="44" t="s">
        <v>163</v>
      </c>
      <c r="D82" s="45">
        <v>12</v>
      </c>
      <c r="E82" s="45">
        <v>1</v>
      </c>
      <c r="F82" s="46" t="s">
        <v>498</v>
      </c>
      <c r="G82" s="47">
        <v>3</v>
      </c>
      <c r="H82" s="181"/>
      <c r="I82" s="44">
        <f>$D$10*E82*'Vehicle Infos'!$L$10</f>
        <v>30.643769333333331</v>
      </c>
      <c r="J82" s="23"/>
      <c r="K82" s="23"/>
      <c r="L82" s="44" t="s">
        <v>165</v>
      </c>
      <c r="M82" s="48">
        <v>18.5</v>
      </c>
      <c r="N82" s="51">
        <v>3</v>
      </c>
      <c r="O82" s="46" t="s">
        <v>499</v>
      </c>
      <c r="P82" s="47">
        <v>6</v>
      </c>
      <c r="Q82" s="193"/>
      <c r="R82" s="49">
        <f>$F$10*N82*'Vehicle Infos'!$L$21</f>
        <v>13.636264285714283</v>
      </c>
      <c r="S82" s="23"/>
      <c r="T82" s="23"/>
      <c r="U82" s="96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</row>
    <row r="83" spans="1:36" ht="15.75" customHeight="1" x14ac:dyDescent="0.35">
      <c r="A83" s="23"/>
      <c r="B83" s="23"/>
      <c r="C83" s="44" t="s">
        <v>167</v>
      </c>
      <c r="D83" s="45">
        <v>14</v>
      </c>
      <c r="E83" s="45">
        <v>2</v>
      </c>
      <c r="F83" s="46" t="s">
        <v>273</v>
      </c>
      <c r="G83" s="47">
        <v>5</v>
      </c>
      <c r="H83" s="181"/>
      <c r="I83" s="44">
        <f>$D$10*E83*'Vehicle Infos'!$L$10</f>
        <v>61.287538666666663</v>
      </c>
      <c r="J83" s="23"/>
      <c r="K83" s="23"/>
      <c r="L83" s="54" t="s">
        <v>162</v>
      </c>
      <c r="M83" s="49"/>
      <c r="N83" s="45">
        <f>SUM(N76:N82)</f>
        <v>18.5</v>
      </c>
      <c r="O83" s="58"/>
      <c r="P83" s="75">
        <v>31</v>
      </c>
      <c r="Q83" s="57"/>
      <c r="R83" s="49">
        <f>$F$10*N83*'Vehicle Infos'!$L$21</f>
        <v>84.090296428571421</v>
      </c>
      <c r="S83" s="23"/>
      <c r="T83" s="23"/>
      <c r="U83" s="96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</row>
    <row r="84" spans="1:36" ht="15.75" customHeight="1" x14ac:dyDescent="0.35">
      <c r="A84" s="23"/>
      <c r="B84" s="23"/>
      <c r="C84" s="44" t="s">
        <v>169</v>
      </c>
      <c r="D84" s="45">
        <v>14.5</v>
      </c>
      <c r="E84" s="45">
        <v>0.5</v>
      </c>
      <c r="F84" s="46" t="s">
        <v>500</v>
      </c>
      <c r="G84" s="47">
        <v>2</v>
      </c>
      <c r="H84" s="181"/>
      <c r="I84" s="44">
        <f>$D$10*E84*'Vehicle Infos'!$L$10</f>
        <v>15.321884666666666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96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</row>
    <row r="85" spans="1:36" ht="15.75" customHeight="1" x14ac:dyDescent="0.35">
      <c r="A85" s="23"/>
      <c r="B85" s="23"/>
      <c r="C85" s="44" t="s">
        <v>171</v>
      </c>
      <c r="D85" s="45">
        <v>15</v>
      </c>
      <c r="E85" s="45">
        <v>0.5</v>
      </c>
      <c r="F85" s="46" t="s">
        <v>443</v>
      </c>
      <c r="G85" s="47">
        <v>1</v>
      </c>
      <c r="H85" s="193"/>
      <c r="I85" s="44">
        <f>$D$10*E85*'Vehicle Infos'!$L$10</f>
        <v>15.321884666666666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96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</row>
    <row r="86" spans="1:36" ht="15.75" customHeight="1" x14ac:dyDescent="0.35">
      <c r="A86" s="23"/>
      <c r="B86" s="23"/>
      <c r="C86" s="54" t="s">
        <v>162</v>
      </c>
      <c r="D86" s="49"/>
      <c r="E86" s="45">
        <v>15</v>
      </c>
      <c r="F86" s="58"/>
      <c r="G86" s="75">
        <f>SUM(G77:G85)</f>
        <v>32</v>
      </c>
      <c r="H86" s="47"/>
      <c r="I86" s="44">
        <f>$D$10*E86*'Vehicle Infos'!$L$10</f>
        <v>459.65654000000001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96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</row>
    <row r="87" spans="1:36" ht="15.7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96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spans="1:36" ht="15.7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96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spans="1:36" ht="15.7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96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ht="15.7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96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spans="1:36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96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96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96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96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96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96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1:36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96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spans="1:36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96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spans="1:36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96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spans="1:36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96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spans="1:36" ht="15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96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spans="1:36" ht="15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96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spans="1:36" ht="15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96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spans="1:36" ht="15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96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spans="1:36" ht="15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96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spans="1:36" ht="15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96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spans="1:36" ht="15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96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spans="1:36" ht="15.7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96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spans="1:36" ht="15.7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96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spans="1:36" ht="15.7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96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spans="1:36" ht="15.7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96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</row>
    <row r="112" spans="1:36" ht="15.7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96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</row>
    <row r="113" spans="1:36" ht="15.7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96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</row>
    <row r="114" spans="1:36" ht="15.7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96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</row>
    <row r="115" spans="1:36" ht="15.7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96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spans="1:36" ht="15.7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96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</row>
    <row r="117" spans="1:36" ht="15.7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96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</row>
    <row r="118" spans="1:36" ht="15.7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96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</row>
    <row r="119" spans="1:36" ht="15.7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96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</row>
    <row r="120" spans="1:36" ht="15.7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96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</row>
    <row r="121" spans="1:36" ht="15.7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96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</row>
    <row r="122" spans="1:36" ht="15.7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96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</row>
    <row r="123" spans="1:36" ht="15.7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96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</row>
    <row r="124" spans="1:36" ht="15.7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96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</row>
    <row r="125" spans="1:36" ht="15.7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96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</row>
    <row r="126" spans="1:36" ht="15.7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96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</row>
    <row r="127" spans="1:36" ht="15.7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96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</row>
    <row r="128" spans="1:36" ht="15.7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96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</row>
    <row r="129" spans="1:36" ht="15.7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96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</row>
    <row r="130" spans="1:36" ht="15.7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96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</row>
    <row r="131" spans="1:36" ht="15.7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96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</row>
    <row r="132" spans="1:36" ht="15.7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96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</row>
    <row r="133" spans="1:36" ht="15.7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96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</row>
    <row r="134" spans="1:36" ht="15.7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96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</row>
    <row r="135" spans="1:36" ht="15.7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96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</row>
    <row r="136" spans="1:36" ht="15.7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96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</row>
    <row r="137" spans="1:36" ht="15.7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96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</row>
    <row r="138" spans="1:36" ht="15.7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96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</row>
    <row r="139" spans="1:36" ht="15.7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96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</row>
    <row r="140" spans="1:36" ht="15.7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96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</row>
    <row r="141" spans="1:36" ht="15.7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96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  <row r="142" spans="1:36" ht="15.7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96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</row>
    <row r="143" spans="1:36" ht="15.7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96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</row>
    <row r="144" spans="1:36" ht="15.7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96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</row>
    <row r="145" spans="1:36" ht="15.7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96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</row>
    <row r="146" spans="1:36" ht="15.7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96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</row>
    <row r="147" spans="1:36" ht="15.7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96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</row>
    <row r="148" spans="1:36" ht="15.7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96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</row>
    <row r="149" spans="1:36" ht="15.7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96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</row>
    <row r="150" spans="1:36" ht="15.7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96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</row>
    <row r="151" spans="1:36" ht="15.7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96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</row>
    <row r="152" spans="1:36" ht="15.7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96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</row>
    <row r="153" spans="1:36" ht="15.7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96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</row>
    <row r="154" spans="1:36" ht="15.7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96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</row>
    <row r="155" spans="1:36" ht="15.7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96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</row>
    <row r="156" spans="1:36" ht="15.7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96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</row>
    <row r="157" spans="1:36" ht="15.7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96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</row>
    <row r="158" spans="1:36" ht="15.7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96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</row>
    <row r="159" spans="1:36" ht="15.7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96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</row>
    <row r="160" spans="1:36" ht="15.7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96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</row>
    <row r="161" spans="1:36" ht="15.7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96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</row>
    <row r="162" spans="1:36" ht="15.7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96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</row>
    <row r="163" spans="1:36" ht="15.7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96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</row>
    <row r="164" spans="1:36" ht="15.7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96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</row>
    <row r="165" spans="1:36" ht="15.7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96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</row>
    <row r="166" spans="1:36" ht="15.7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9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</row>
    <row r="167" spans="1:36" ht="15.7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9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</row>
    <row r="168" spans="1:36" ht="15.7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9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</row>
    <row r="169" spans="1:36" ht="15.7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96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</row>
    <row r="170" spans="1:36" ht="15.7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9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</row>
    <row r="171" spans="1:36" ht="15.7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96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</row>
    <row r="172" spans="1:36" ht="15.7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96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</row>
    <row r="173" spans="1:36" ht="15.7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96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</row>
    <row r="174" spans="1:36" ht="15.7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96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</row>
    <row r="175" spans="1:36" ht="15.7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96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</row>
    <row r="176" spans="1:36" ht="15.7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96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</row>
    <row r="177" spans="1:36" ht="15.7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96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</row>
    <row r="178" spans="1:36" ht="15.7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96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</row>
    <row r="179" spans="1:36" ht="15.7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96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</row>
    <row r="180" spans="1:36" ht="15.7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96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</row>
    <row r="181" spans="1:36" ht="15.7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96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</row>
    <row r="182" spans="1:36" ht="15.7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96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</row>
    <row r="183" spans="1:36" ht="15.7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96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</row>
    <row r="184" spans="1:36" ht="15.7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96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</row>
    <row r="185" spans="1:36" ht="15.7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96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</row>
    <row r="186" spans="1:36" ht="15.7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96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</row>
    <row r="187" spans="1:36" ht="15.7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96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</row>
    <row r="188" spans="1:36" ht="15.7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96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</row>
    <row r="189" spans="1:36" ht="15.7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96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</row>
    <row r="190" spans="1:36" ht="15.7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96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</row>
    <row r="191" spans="1:36" ht="15.7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96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</row>
    <row r="192" spans="1:36" ht="15.7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96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</row>
    <row r="193" spans="1:36" ht="15.7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96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</row>
    <row r="194" spans="1:36" ht="15.7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96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</row>
    <row r="195" spans="1:36" ht="15.7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96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</row>
    <row r="196" spans="1:36" ht="15.7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96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</row>
    <row r="197" spans="1:36" ht="15.7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96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</row>
    <row r="198" spans="1:36" ht="15.7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96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spans="1:36" ht="15.7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96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spans="1:36" ht="15.7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96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spans="1:36" ht="15.7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96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ht="15.7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96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spans="1:36" ht="15.7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96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spans="1:36" ht="15.7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96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ht="15.7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96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spans="1:36" ht="15.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96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spans="1:36" ht="15.7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96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ht="15.7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96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spans="1:36" ht="15.7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96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spans="1:36" ht="15.7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96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ht="15.7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96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spans="1:36" ht="15.7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96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spans="1:36" ht="15.7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96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ht="15.7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96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spans="1:36" ht="15.7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96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spans="1:36" ht="15.7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96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ht="15.7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96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spans="1:36" ht="15.7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96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spans="1:36" ht="15.7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96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ht="15.7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96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spans="1:36" ht="15.7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96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spans="1:36" ht="15.7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96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ht="15.7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96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spans="1:36" ht="15.7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96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spans="1:36" ht="15.7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96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spans="1:36" ht="15.7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96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spans="1:36" ht="15.7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96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spans="1:36" ht="15.7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96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spans="1:36" ht="15.7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96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spans="1:36" ht="15.7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96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spans="1:36" ht="15.7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96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spans="1:36" ht="15.7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96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spans="1:36" ht="15.7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96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spans="1:36" ht="15.7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96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spans="1:36" ht="15.7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96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spans="1:36" ht="15.7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9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spans="1:36" ht="15.7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96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spans="1:36" ht="15.7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96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spans="1:36" ht="15.7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96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spans="1:36" ht="15.7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96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spans="1:36" ht="15.7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96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</row>
    <row r="242" spans="1:36" ht="15.7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96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</row>
    <row r="243" spans="1:36" ht="15.7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96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</row>
    <row r="244" spans="1:36" ht="15.7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96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</row>
    <row r="245" spans="1:36" ht="15.7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96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</row>
    <row r="246" spans="1:36" ht="15.7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96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</row>
    <row r="247" spans="1:36" ht="15.7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96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</row>
    <row r="248" spans="1:36" ht="15.7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96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</row>
    <row r="249" spans="1:36" ht="15.7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96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</row>
    <row r="250" spans="1:36" ht="15.7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96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</row>
    <row r="251" spans="1:36" ht="15.7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96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</row>
    <row r="252" spans="1:36" ht="15.7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96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</row>
    <row r="253" spans="1:36" ht="15.7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96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</row>
    <row r="254" spans="1:36" ht="15.7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96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</row>
    <row r="255" spans="1:36" ht="15.7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96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</row>
    <row r="256" spans="1:36" ht="15.7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96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</row>
    <row r="257" spans="1:36" ht="15.7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96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</row>
    <row r="258" spans="1:36" ht="15.7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96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</row>
    <row r="259" spans="1:36" ht="15.7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96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</row>
    <row r="260" spans="1:36" ht="15.7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96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</row>
    <row r="261" spans="1:36" ht="15.7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96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</row>
    <row r="262" spans="1:36" ht="15.7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96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</row>
    <row r="263" spans="1:36" ht="15.7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96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</row>
    <row r="264" spans="1:36" ht="15.7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96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</row>
    <row r="265" spans="1:36" ht="15.7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96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</row>
    <row r="266" spans="1:36" ht="15.7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96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</row>
    <row r="267" spans="1:36" ht="15.7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96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8" spans="1:36" ht="15.7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96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</row>
    <row r="269" spans="1:36" ht="15.7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96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</row>
    <row r="270" spans="1:36" ht="15.7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96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</row>
    <row r="271" spans="1:36" ht="15.7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96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</row>
    <row r="272" spans="1:36" ht="15.7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96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</row>
    <row r="273" spans="1:36" ht="15.7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96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</row>
    <row r="274" spans="1:36" ht="15.7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96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</row>
    <row r="275" spans="1:36" ht="15.7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96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</row>
    <row r="276" spans="1:36" ht="15.7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96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</row>
    <row r="277" spans="1:36" ht="15.7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96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</row>
    <row r="278" spans="1:36" ht="15.7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96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</row>
    <row r="279" spans="1:36" ht="15.7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96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</row>
    <row r="280" spans="1:36" ht="15.7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96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</row>
    <row r="281" spans="1:36" ht="15.7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96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</row>
    <row r="282" spans="1:36" ht="15.7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96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</row>
    <row r="283" spans="1:36" ht="15.7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96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</row>
    <row r="284" spans="1:36" ht="15.7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96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</row>
    <row r="285" spans="1:36" ht="15.7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96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</row>
    <row r="286" spans="1:36" ht="15.7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96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</row>
    <row r="287" spans="1:36" ht="15.7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96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</row>
    <row r="288" spans="1:36" ht="15.7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96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</row>
    <row r="289" spans="1:36" ht="15.7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96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</row>
    <row r="290" spans="1:36" ht="15.7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96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</row>
    <row r="291" spans="1:36" ht="15.7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96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</row>
    <row r="292" spans="1:36" ht="15.7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96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</row>
    <row r="293" spans="1:36" ht="15.7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96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</row>
    <row r="294" spans="1:36" ht="15.7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96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</row>
    <row r="295" spans="1:36" ht="15.7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96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</row>
    <row r="296" spans="1:36" ht="15.7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96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</row>
    <row r="297" spans="1:36" ht="15.7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96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</row>
    <row r="298" spans="1:36" ht="15.7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96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</row>
    <row r="299" spans="1:36" ht="15.7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96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</row>
    <row r="300" spans="1:36" ht="15.7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96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</row>
    <row r="301" spans="1:36" ht="15.7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96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</row>
    <row r="302" spans="1:36" ht="15.7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96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</row>
    <row r="303" spans="1:36" ht="15.7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96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</row>
    <row r="304" spans="1:36" ht="15.7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96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</row>
    <row r="305" spans="1:36" ht="15.7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96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</row>
    <row r="306" spans="1:36" ht="15.7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96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</row>
    <row r="307" spans="1:36" ht="15.7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96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</row>
    <row r="308" spans="1:36" ht="15.7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96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</row>
    <row r="309" spans="1:36" ht="15.7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96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</row>
    <row r="310" spans="1:36" ht="15.7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96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</row>
    <row r="311" spans="1:36" ht="15.7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96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</row>
    <row r="312" spans="1:36" ht="15.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96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</row>
    <row r="313" spans="1:36" ht="15.7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96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</row>
    <row r="314" spans="1:36" ht="15.7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96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</row>
    <row r="315" spans="1:36" ht="15.7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96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</row>
    <row r="316" spans="1:36" ht="15.7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96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</row>
    <row r="317" spans="1:36" ht="15.7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96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</row>
    <row r="318" spans="1:36" ht="15.7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96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</row>
    <row r="319" spans="1:36" ht="15.7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96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</row>
    <row r="320" spans="1:36" ht="15.7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96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</row>
    <row r="321" spans="1:36" ht="15.7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96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</row>
    <row r="322" spans="1:36" ht="15.7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96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</row>
    <row r="323" spans="1:36" ht="15.7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96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</row>
    <row r="324" spans="1:36" ht="15.7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96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</row>
    <row r="325" spans="1:36" ht="15.7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96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</row>
    <row r="326" spans="1:36" ht="15.7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96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</row>
    <row r="327" spans="1:36" ht="15.7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96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</row>
    <row r="328" spans="1:36" ht="15.7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96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</row>
    <row r="329" spans="1:36" ht="15.7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96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spans="1:36" ht="15.7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96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spans="1:36" ht="15.7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96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spans="1:36" ht="15.7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96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spans="1:36" ht="15.7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96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spans="1:36" ht="15.7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96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spans="1:36" ht="15.7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96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spans="1:36" ht="15.7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96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spans="1:36" ht="15.7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96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spans="1:36" ht="15.7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96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spans="1:36" ht="15.7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96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spans="1:36" ht="15.7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96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spans="1:36" ht="15.7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96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spans="1:36" ht="15.7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96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spans="1:36" ht="15.7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96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spans="1:36" ht="15.7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96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spans="1:36" ht="15.7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96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spans="1:36" ht="15.7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96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spans="1:36" ht="15.7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96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spans="1:36" ht="15.7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96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spans="1:36" ht="15.7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96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spans="1:36" ht="15.7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96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spans="1:36" ht="15.7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96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spans="1:36" ht="15.7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96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spans="1:36" ht="15.7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96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spans="1:36" ht="15.7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96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spans="1:36" ht="15.7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96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spans="1:36" ht="15.7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96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spans="1:36" ht="15.7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96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spans="1:36" ht="15.7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96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spans="1:36" ht="15.7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96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spans="1:36" ht="15.7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96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spans="1:36" ht="15.7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96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spans="1:36" ht="15.7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96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spans="1:36" ht="15.7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96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spans="1:36" ht="15.7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96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spans="1:36" ht="15.7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96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spans="1:36" ht="15.7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96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spans="1:36" ht="15.7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96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spans="1:36" ht="15.7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96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spans="1:36" ht="15.7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96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spans="1:36" ht="15.7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96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spans="1:36" ht="15.7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96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</row>
    <row r="372" spans="1:36" ht="15.7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96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</row>
    <row r="373" spans="1:36" ht="15.7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96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</row>
    <row r="374" spans="1:36" ht="15.7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96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</row>
    <row r="375" spans="1:36" ht="15.7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96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</row>
    <row r="376" spans="1:36" ht="15.7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96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</row>
    <row r="377" spans="1:36" ht="15.7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96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</row>
    <row r="378" spans="1:36" ht="15.7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96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</row>
    <row r="379" spans="1:36" ht="15.7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96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</row>
    <row r="380" spans="1:36" ht="15.7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96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</row>
    <row r="381" spans="1:36" ht="15.7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96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</row>
    <row r="382" spans="1:36" ht="15.7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96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</row>
    <row r="383" spans="1:36" ht="15.7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96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</row>
    <row r="384" spans="1:36" ht="15.7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96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</row>
    <row r="385" spans="1:36" ht="15.7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96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</row>
    <row r="386" spans="1:36" ht="15.7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96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</row>
    <row r="387" spans="1:36" ht="15.7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96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</row>
    <row r="388" spans="1:36" ht="15.7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96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</row>
    <row r="389" spans="1:36" ht="15.7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96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</row>
    <row r="390" spans="1:36" ht="15.7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96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</row>
    <row r="391" spans="1:36" ht="15.7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96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</row>
    <row r="392" spans="1:36" ht="15.7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96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</row>
    <row r="393" spans="1:36" ht="15.7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96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</row>
    <row r="394" spans="1:36" ht="15.7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96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</row>
    <row r="395" spans="1:36" ht="15.7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96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</row>
    <row r="396" spans="1:36" ht="15.7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96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</row>
    <row r="397" spans="1:36" ht="15.7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96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</row>
    <row r="398" spans="1:36" ht="15.7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96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</row>
    <row r="399" spans="1:36" ht="15.7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96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</row>
    <row r="400" spans="1:36" ht="15.7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96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</row>
    <row r="401" spans="1:36" ht="15.7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96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</row>
    <row r="402" spans="1:36" ht="15.7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96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</row>
    <row r="403" spans="1:36" ht="15.7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96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</row>
    <row r="404" spans="1:36" ht="15.7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96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</row>
    <row r="405" spans="1:36" ht="15.7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96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</row>
    <row r="406" spans="1:36" ht="15.7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96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</row>
    <row r="407" spans="1:36" ht="15.7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96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</row>
    <row r="408" spans="1:36" ht="15.7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96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</row>
    <row r="409" spans="1:36" ht="15.7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96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</row>
    <row r="410" spans="1:36" ht="15.7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96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</row>
    <row r="411" spans="1:36" ht="15.7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96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</row>
    <row r="412" spans="1:36" ht="15.7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96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</row>
    <row r="413" spans="1:36" ht="15.7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96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</row>
    <row r="414" spans="1:36" ht="15.7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96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</row>
    <row r="415" spans="1:36" ht="15.7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96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</row>
    <row r="416" spans="1:36" ht="15.7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96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</row>
    <row r="417" spans="1:36" ht="15.7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96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</row>
    <row r="418" spans="1:36" ht="15.7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96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</row>
    <row r="419" spans="1:36" ht="15.7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96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</row>
    <row r="420" spans="1:36" ht="15.7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96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</row>
    <row r="421" spans="1:36" ht="15.7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96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</row>
    <row r="422" spans="1:36" ht="15.7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96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</row>
    <row r="423" spans="1:36" ht="15.7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96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</row>
    <row r="424" spans="1:36" ht="15.7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96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</row>
    <row r="425" spans="1:36" ht="15.7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96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</row>
    <row r="426" spans="1:36" ht="15.7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96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</row>
    <row r="427" spans="1:36" ht="15.7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96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</row>
    <row r="428" spans="1:36" ht="15.7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96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</row>
    <row r="429" spans="1:36" ht="15.7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96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</row>
    <row r="430" spans="1:36" ht="15.7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96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</row>
    <row r="431" spans="1:36" ht="15.7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96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</row>
    <row r="432" spans="1:36" ht="15.7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96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</row>
    <row r="433" spans="1:36" ht="15.7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96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</row>
    <row r="434" spans="1:36" ht="15.7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96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</row>
    <row r="435" spans="1:36" ht="15.7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96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</row>
    <row r="436" spans="1:36" ht="15.7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96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</row>
    <row r="437" spans="1:36" ht="15.7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96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</row>
    <row r="438" spans="1:36" ht="15.7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96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</row>
    <row r="439" spans="1:36" ht="15.7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96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</row>
    <row r="440" spans="1:36" ht="15.7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96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</row>
    <row r="441" spans="1:36" ht="15.7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96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</row>
    <row r="442" spans="1:36" ht="15.7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96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</row>
    <row r="443" spans="1:36" ht="15.7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96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</row>
    <row r="444" spans="1:36" ht="15.7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96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</row>
    <row r="445" spans="1:36" ht="15.7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96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</row>
    <row r="446" spans="1:36" ht="15.7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96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</row>
    <row r="447" spans="1:36" ht="15.7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96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</row>
    <row r="448" spans="1:36" ht="15.7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96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</row>
    <row r="449" spans="1:36" ht="15.7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96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</row>
    <row r="450" spans="1:36" ht="15.7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96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</row>
    <row r="451" spans="1:36" ht="15.7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96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</row>
    <row r="452" spans="1:36" ht="15.7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96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</row>
    <row r="453" spans="1:36" ht="15.7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96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</row>
    <row r="454" spans="1:36" ht="15.7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96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</row>
    <row r="455" spans="1:36" ht="15.7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96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</row>
    <row r="456" spans="1:36" ht="15.7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96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</row>
    <row r="457" spans="1:36" ht="15.7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96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</row>
    <row r="458" spans="1:36" ht="15.7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96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</row>
    <row r="459" spans="1:36" ht="15.7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96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spans="1:36" ht="15.7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96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spans="1:36" ht="15.7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96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spans="1:36" ht="15.7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96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spans="1:36" ht="15.7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96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spans="1:36" ht="15.7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96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spans="1:36" ht="15.7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96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spans="1:36" ht="15.7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96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spans="1:36" ht="15.7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96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spans="1:36" ht="15.7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96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spans="1:36" ht="15.7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96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spans="1:36" ht="15.7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96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spans="1:36" ht="15.7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96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spans="1:36" ht="15.7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96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spans="1:36" ht="15.7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96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spans="1:36" ht="15.7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96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spans="1:36" ht="15.7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96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spans="1:36" ht="15.7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96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spans="1:36" ht="15.7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96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spans="1:36" ht="15.7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96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spans="1:36" ht="15.7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96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spans="1:36" ht="15.7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96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spans="1:36" ht="15.7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96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spans="1:36" ht="15.7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96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spans="1:36" ht="15.7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96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spans="1:36" ht="15.7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96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spans="1:36" ht="15.7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96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spans="1:36" ht="15.7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96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spans="1:36" ht="15.7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96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spans="1:36" ht="15.7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96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spans="1:36" ht="15.7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96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spans="1:36" ht="15.7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96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spans="1:36" ht="15.7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96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spans="1:36" ht="15.7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96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spans="1:36" ht="15.7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96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spans="1:36" ht="15.7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96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spans="1:36" ht="15.7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96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spans="1:36" ht="15.7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96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spans="1:36" ht="15.7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96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spans="1:36" ht="15.7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96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spans="1:36" ht="15.7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96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spans="1:36" ht="15.7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96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spans="1:36" ht="15.7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96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</row>
    <row r="502" spans="1:36" ht="15.7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96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</row>
    <row r="503" spans="1:36" ht="15.7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96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</row>
    <row r="504" spans="1:36" ht="15.7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96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</row>
    <row r="505" spans="1:36" ht="15.7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96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</row>
    <row r="506" spans="1:36" ht="15.7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96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</row>
    <row r="507" spans="1:36" ht="15.7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96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</row>
    <row r="508" spans="1:36" ht="15.7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96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</row>
    <row r="509" spans="1:36" ht="15.7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96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</row>
    <row r="510" spans="1:36" ht="15.7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96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</row>
    <row r="511" spans="1:36" ht="15.7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96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</row>
    <row r="512" spans="1:36" ht="15.7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96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</row>
    <row r="513" spans="1:36" ht="15.7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96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</row>
    <row r="514" spans="1:36" ht="15.7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96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</row>
    <row r="515" spans="1:36" ht="15.7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96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</row>
    <row r="516" spans="1:36" ht="15.7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96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</row>
    <row r="517" spans="1:36" ht="15.7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96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</row>
    <row r="518" spans="1:36" ht="15.7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96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</row>
    <row r="519" spans="1:36" ht="15.7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96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</row>
    <row r="520" spans="1:36" ht="15.7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96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</row>
    <row r="521" spans="1:36" ht="15.7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96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</row>
    <row r="522" spans="1:36" ht="15.7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96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</row>
    <row r="523" spans="1:36" ht="15.7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96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</row>
    <row r="524" spans="1:36" ht="15.7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96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</row>
    <row r="525" spans="1:36" ht="15.7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96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</row>
    <row r="526" spans="1:36" ht="15.7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96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</row>
    <row r="527" spans="1:36" ht="15.7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96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</row>
    <row r="528" spans="1:36" ht="15.7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96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</row>
    <row r="529" spans="1:36" ht="15.7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96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</row>
    <row r="530" spans="1:36" ht="15.7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96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</row>
    <row r="531" spans="1:36" ht="15.7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96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</row>
    <row r="532" spans="1:36" ht="15.7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96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</row>
    <row r="533" spans="1:36" ht="15.7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96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</row>
    <row r="534" spans="1:36" ht="15.7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96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</row>
    <row r="535" spans="1:36" ht="15.7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96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</row>
    <row r="536" spans="1:36" ht="15.7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96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</row>
    <row r="537" spans="1:36" ht="15.7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96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</row>
    <row r="538" spans="1:36" ht="15.7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96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</row>
    <row r="539" spans="1:36" ht="15.7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96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</row>
    <row r="540" spans="1:36" ht="15.7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96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</row>
    <row r="541" spans="1:36" ht="15.7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96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</row>
    <row r="542" spans="1:36" ht="15.7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96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</row>
    <row r="543" spans="1:36" ht="15.7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96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</row>
    <row r="544" spans="1:36" ht="15.7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96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</row>
    <row r="545" spans="1:36" ht="15.7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96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</row>
    <row r="546" spans="1:36" ht="15.7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96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</row>
    <row r="547" spans="1:36" ht="15.7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96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</row>
    <row r="548" spans="1:36" ht="15.7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96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</row>
    <row r="549" spans="1:36" ht="15.7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96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</row>
    <row r="550" spans="1:36" ht="15.7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96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</row>
    <row r="551" spans="1:36" ht="15.7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96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</row>
    <row r="552" spans="1:36" ht="15.7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96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</row>
    <row r="553" spans="1:36" ht="15.7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96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</row>
    <row r="554" spans="1:36" ht="15.7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96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</row>
    <row r="555" spans="1:36" ht="15.7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96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</row>
    <row r="556" spans="1:36" ht="15.7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96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</row>
    <row r="557" spans="1:36" ht="15.7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96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</row>
    <row r="558" spans="1:36" ht="15.7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96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</row>
    <row r="559" spans="1:36" ht="15.7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96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</row>
    <row r="560" spans="1:36" ht="15.7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96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</row>
    <row r="561" spans="1:36" ht="15.7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96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</row>
    <row r="562" spans="1:36" ht="15.7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96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</row>
    <row r="563" spans="1:36" ht="15.7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96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</row>
    <row r="564" spans="1:36" ht="15.7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96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</row>
    <row r="565" spans="1:36" ht="15.7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96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</row>
    <row r="566" spans="1:36" ht="15.7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96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</row>
    <row r="567" spans="1:36" ht="15.7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96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</row>
    <row r="568" spans="1:36" ht="15.7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96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</row>
    <row r="569" spans="1:36" ht="15.7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96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</row>
    <row r="570" spans="1:36" ht="15.7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96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</row>
    <row r="571" spans="1:36" ht="15.7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96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</row>
    <row r="572" spans="1:36" ht="15.7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96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</row>
    <row r="573" spans="1:36" ht="15.7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96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</row>
    <row r="574" spans="1:36" ht="15.7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96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</row>
    <row r="575" spans="1:36" ht="15.7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96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</row>
    <row r="576" spans="1:36" ht="15.7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96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</row>
    <row r="577" spans="1:36" ht="15.7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96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</row>
    <row r="578" spans="1:36" ht="15.7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96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</row>
    <row r="579" spans="1:36" ht="15.7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96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</row>
    <row r="580" spans="1:36" ht="15.7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96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</row>
    <row r="581" spans="1:36" ht="15.7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96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</row>
    <row r="582" spans="1:36" ht="15.7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96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</row>
    <row r="583" spans="1:36" ht="15.7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96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</row>
    <row r="584" spans="1:36" ht="15.7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96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</row>
    <row r="585" spans="1:36" ht="15.7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96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</row>
    <row r="586" spans="1:36" ht="15.7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96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</row>
    <row r="587" spans="1:36" ht="15.7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96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</row>
    <row r="588" spans="1:36" ht="15.7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96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</row>
    <row r="589" spans="1:36" ht="15.7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96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spans="1:36" ht="15.7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96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spans="1:36" ht="15.7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96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spans="1:36" ht="15.7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96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spans="1:36" ht="15.7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96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spans="1:36" ht="15.7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96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spans="1:36" ht="15.7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96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spans="1:36" ht="15.7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96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spans="1:36" ht="15.7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96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spans="1:36" ht="15.7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96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spans="1:36" ht="15.7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96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spans="1:36" ht="15.7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96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spans="1:36" ht="15.7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96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spans="1:36" ht="15.7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96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spans="1:36" ht="15.7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96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spans="1:36" ht="15.7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96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spans="1:36" ht="15.7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96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spans="1:36" ht="15.7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96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spans="1:36" ht="15.7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96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spans="1:36" ht="15.7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96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spans="1:36" ht="15.7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96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spans="1:36" ht="15.7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96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spans="1:36" ht="15.7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96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spans="1:36" ht="15.7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96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spans="1:36" ht="15.7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96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spans="1:36" ht="15.7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96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spans="1:36" ht="15.7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96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spans="1:36" ht="15.7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96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spans="1:36" ht="15.7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96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spans="1:36" ht="15.7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96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spans="1:36" ht="15.7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96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spans="1:36" ht="15.7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96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spans="1:36" ht="15.7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96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spans="1:36" ht="15.7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96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spans="1:36" ht="15.7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96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spans="1:36" ht="15.7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96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spans="1:36" ht="15.7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96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spans="1:36" ht="15.7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96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spans="1:36" ht="15.7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96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spans="1:36" ht="15.7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96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spans="1:36" ht="15.7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96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spans="1:36" ht="15.7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96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spans="1:36" ht="15.7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96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</row>
    <row r="632" spans="1:36" ht="15.7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96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</row>
    <row r="633" spans="1:36" ht="15.7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96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</row>
    <row r="634" spans="1:36" ht="15.7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96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</row>
    <row r="635" spans="1:36" ht="15.7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96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</row>
    <row r="636" spans="1:36" ht="15.7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96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</row>
    <row r="637" spans="1:36" ht="15.7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96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</row>
    <row r="638" spans="1:36" ht="15.7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96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</row>
    <row r="639" spans="1:36" ht="15.7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96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</row>
    <row r="640" spans="1:36" ht="15.7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96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</row>
    <row r="641" spans="1:36" ht="15.7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96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</row>
    <row r="642" spans="1:36" ht="15.7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96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</row>
    <row r="643" spans="1:36" ht="15.7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96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</row>
    <row r="644" spans="1:36" ht="15.7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96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</row>
    <row r="645" spans="1:36" ht="15.7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96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</row>
    <row r="646" spans="1:36" ht="15.7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96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</row>
    <row r="647" spans="1:36" ht="15.7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96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</row>
    <row r="648" spans="1:36" ht="15.7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96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</row>
    <row r="649" spans="1:36" ht="15.7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96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</row>
    <row r="650" spans="1:36" ht="15.7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96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</row>
    <row r="651" spans="1:36" ht="15.7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96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</row>
    <row r="652" spans="1:36" ht="15.7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96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</row>
    <row r="653" spans="1:36" ht="15.7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96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</row>
    <row r="654" spans="1:36" ht="15.7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96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</row>
    <row r="655" spans="1:36" ht="15.7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96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</row>
    <row r="656" spans="1:36" ht="15.7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96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</row>
    <row r="657" spans="1:36" ht="15.7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96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</row>
    <row r="658" spans="1:36" ht="15.7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96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</row>
    <row r="659" spans="1:36" ht="15.7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96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</row>
    <row r="660" spans="1:36" ht="15.7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96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</row>
    <row r="661" spans="1:36" ht="15.7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96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</row>
    <row r="662" spans="1:36" ht="15.7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96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</row>
    <row r="663" spans="1:36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96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</row>
    <row r="664" spans="1:36" ht="15.7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96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</row>
    <row r="665" spans="1:36" ht="15.7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96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</row>
    <row r="666" spans="1:36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96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</row>
    <row r="667" spans="1:36" ht="15.7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96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</row>
    <row r="668" spans="1:36" ht="15.7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96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</row>
    <row r="669" spans="1:36" ht="15.7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96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</row>
    <row r="670" spans="1:36" ht="15.7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96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</row>
    <row r="671" spans="1:36" ht="15.7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96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</row>
    <row r="672" spans="1:36" ht="15.7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96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</row>
    <row r="673" spans="1:36" ht="15.7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96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</row>
    <row r="674" spans="1:36" ht="15.7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96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</row>
    <row r="675" spans="1:36" ht="15.7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96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</row>
    <row r="676" spans="1:36" ht="15.7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96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</row>
    <row r="677" spans="1:36" ht="15.7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96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</row>
    <row r="678" spans="1:36" ht="15.7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96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</row>
    <row r="679" spans="1:36" ht="15.7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96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</row>
    <row r="680" spans="1:36" ht="15.7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96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</row>
    <row r="681" spans="1:36" ht="15.7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96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</row>
    <row r="682" spans="1:36" ht="15.7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96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</row>
    <row r="683" spans="1:36" ht="15.7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96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</row>
    <row r="684" spans="1:36" ht="15.7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96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</row>
    <row r="685" spans="1:36" ht="15.7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96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</row>
    <row r="686" spans="1:36" ht="15.7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96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</row>
    <row r="687" spans="1:36" ht="15.7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96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</row>
    <row r="688" spans="1:36" ht="15.7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96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</row>
    <row r="689" spans="1:36" ht="15.7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96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</row>
    <row r="690" spans="1:36" ht="15.7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96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</row>
    <row r="691" spans="1:36" ht="15.7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96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</row>
    <row r="692" spans="1:36" ht="15.7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96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</row>
    <row r="693" spans="1:36" ht="15.7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96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</row>
    <row r="694" spans="1:36" ht="15.7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96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</row>
    <row r="695" spans="1:36" ht="15.7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96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</row>
    <row r="696" spans="1:36" ht="15.7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96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</row>
    <row r="697" spans="1:36" ht="15.7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96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</row>
    <row r="698" spans="1:36" ht="15.7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96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</row>
    <row r="699" spans="1:36" ht="15.7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96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</row>
    <row r="700" spans="1:36" ht="15.7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96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</row>
    <row r="701" spans="1:36" ht="15.7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96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</row>
    <row r="702" spans="1:36" ht="15.7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96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</row>
    <row r="703" spans="1:36" ht="15.7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96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</row>
    <row r="704" spans="1:36" ht="15.7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96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</row>
    <row r="705" spans="1:36" ht="15.7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96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</row>
    <row r="706" spans="1:36" ht="15.7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96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</row>
    <row r="707" spans="1:36" ht="15.7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96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</row>
    <row r="708" spans="1:36" ht="15.7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96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</row>
    <row r="709" spans="1:36" ht="15.7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96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</row>
    <row r="710" spans="1:36" ht="15.7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96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</row>
    <row r="711" spans="1:36" ht="15.7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96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</row>
    <row r="712" spans="1:36" ht="15.7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96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</row>
    <row r="713" spans="1:36" ht="15.7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96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</row>
    <row r="714" spans="1:36" ht="15.7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96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</row>
    <row r="715" spans="1:36" ht="15.7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96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</row>
    <row r="716" spans="1:36" ht="15.7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96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</row>
    <row r="717" spans="1:36" ht="15.7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96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</row>
    <row r="718" spans="1:36" ht="15.7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96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 spans="1:36" ht="15.7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96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spans="1:36" ht="15.7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96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spans="1:36" ht="15.7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96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spans="1:36" ht="15.7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96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spans="1:36" ht="15.7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96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spans="1:36" ht="15.7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96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spans="1:36" ht="15.7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96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spans="1:36" ht="15.7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96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spans="1:36" ht="15.7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96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spans="1:36" ht="15.7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96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spans="1:36" ht="15.7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96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spans="1:36" ht="15.7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96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spans="1:36" ht="15.7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96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spans="1:36" ht="15.7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96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spans="1:36" ht="15.7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96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spans="1:36" ht="15.7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96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spans="1:36" ht="15.7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96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spans="1:36" ht="15.7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96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spans="1:36" ht="15.7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96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spans="1:36" ht="15.7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96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spans="1:36" ht="15.7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96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spans="1:36" ht="15.7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96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spans="1:36" ht="15.7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96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spans="1:36" ht="15.7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96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spans="1:36" ht="15.7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96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spans="1:36" ht="15.7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96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spans="1:36" ht="15.7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96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spans="1:36" ht="15.7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96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spans="1:36" ht="15.7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96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spans="1:36" ht="15.7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96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spans="1:36" ht="15.7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96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spans="1:36" ht="15.7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96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spans="1:36" ht="15.7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96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spans="1:36" ht="15.7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96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spans="1:36" ht="15.7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96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spans="1:36" ht="15.7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96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spans="1:36" ht="15.7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96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spans="1:36" ht="15.7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96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spans="1:36" ht="15.7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96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spans="1:36" ht="15.7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96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spans="1:36" ht="15.7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96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spans="1:36" ht="15.7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96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spans="1:36" ht="15.7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96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 spans="1:36" ht="15.7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96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</row>
    <row r="763" spans="1:36" ht="15.7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96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</row>
    <row r="764" spans="1:36" ht="15.7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96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</row>
    <row r="765" spans="1:36" ht="15.7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96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</row>
    <row r="766" spans="1:36" ht="15.7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96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</row>
    <row r="767" spans="1:36" ht="15.7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96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</row>
    <row r="768" spans="1:36" ht="15.7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96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</row>
    <row r="769" spans="1:36" ht="15.7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96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</row>
    <row r="770" spans="1:36" ht="15.7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96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</row>
    <row r="771" spans="1:36" ht="15.7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96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</row>
    <row r="772" spans="1:36" ht="15.7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96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</row>
    <row r="773" spans="1:36" ht="15.7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96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</row>
    <row r="774" spans="1:36" ht="15.7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96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</row>
    <row r="775" spans="1:36" ht="15.7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96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</row>
    <row r="776" spans="1:36" ht="15.7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96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</row>
    <row r="777" spans="1:36" ht="15.7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96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</row>
    <row r="778" spans="1:36" ht="15.7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96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</row>
    <row r="779" spans="1:36" ht="15.7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96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</row>
    <row r="780" spans="1:36" ht="15.7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96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</row>
    <row r="781" spans="1:36" ht="15.7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96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</row>
    <row r="782" spans="1:36" ht="15.7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96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</row>
    <row r="783" spans="1:36" ht="15.7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96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</row>
    <row r="784" spans="1:36" ht="15.7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96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</row>
    <row r="785" spans="1:36" ht="15.7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96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</row>
    <row r="786" spans="1:36" ht="15.7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96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</row>
    <row r="787" spans="1:36" ht="15.7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96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</row>
    <row r="788" spans="1:36" ht="15.7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96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</row>
    <row r="789" spans="1:36" ht="15.7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96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</row>
    <row r="790" spans="1:36" ht="15.7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96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</row>
    <row r="791" spans="1:36" ht="15.7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96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</row>
    <row r="792" spans="1:36" ht="15.7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96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</row>
    <row r="793" spans="1:36" ht="15.7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96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</row>
    <row r="794" spans="1:36" ht="15.7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96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</row>
    <row r="795" spans="1:36" ht="15.7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96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</row>
    <row r="796" spans="1:36" ht="15.7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96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</row>
    <row r="797" spans="1:36" ht="15.7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96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</row>
    <row r="798" spans="1:36" ht="15.7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96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</row>
    <row r="799" spans="1:36" ht="15.7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96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</row>
    <row r="800" spans="1:36" ht="15.7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96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</row>
    <row r="801" spans="1:36" ht="15.7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96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</row>
    <row r="802" spans="1:36" ht="15.7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96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</row>
    <row r="803" spans="1:36" ht="15.7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96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</row>
    <row r="804" spans="1:36" ht="15.7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96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</row>
    <row r="805" spans="1:36" ht="15.7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96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</row>
    <row r="806" spans="1:36" ht="15.7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96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</row>
    <row r="807" spans="1:36" ht="15.7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96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</row>
    <row r="808" spans="1:36" ht="15.7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96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</row>
    <row r="809" spans="1:36" ht="15.7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96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</row>
    <row r="810" spans="1:36" ht="15.7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96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</row>
    <row r="811" spans="1:36" ht="15.7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96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</row>
    <row r="812" spans="1:36" ht="15.7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96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</row>
    <row r="813" spans="1:36" ht="15.7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96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</row>
    <row r="814" spans="1:36" ht="15.7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96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</row>
    <row r="815" spans="1:36" ht="15.7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96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</row>
    <row r="816" spans="1:36" ht="15.7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96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</row>
    <row r="817" spans="1:36" ht="15.7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96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</row>
    <row r="818" spans="1:36" ht="15.7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96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</row>
    <row r="819" spans="1:36" ht="15.7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96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</row>
    <row r="820" spans="1:36" ht="15.7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96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</row>
    <row r="821" spans="1:36" ht="15.7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96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</row>
    <row r="822" spans="1:36" ht="15.7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96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</row>
    <row r="823" spans="1:36" ht="15.7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96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</row>
    <row r="824" spans="1:36" ht="15.7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96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</row>
    <row r="825" spans="1:36" ht="15.7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96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</row>
    <row r="826" spans="1:36" ht="15.7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96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</row>
    <row r="827" spans="1:36" ht="15.7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96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</row>
    <row r="828" spans="1:36" ht="15.7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96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</row>
    <row r="829" spans="1:36" ht="15.7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96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</row>
    <row r="830" spans="1:36" ht="15.7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96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</row>
    <row r="831" spans="1:36" ht="15.7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96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</row>
    <row r="832" spans="1:36" ht="15.7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96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</row>
    <row r="833" spans="1:36" ht="15.7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96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</row>
    <row r="834" spans="1:36" ht="15.7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96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</row>
    <row r="835" spans="1:36" ht="15.7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96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</row>
    <row r="836" spans="1:36" ht="15.7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96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</row>
    <row r="837" spans="1:36" ht="15.7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96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</row>
    <row r="838" spans="1:36" ht="15.7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96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</row>
    <row r="839" spans="1:36" ht="15.7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96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</row>
    <row r="840" spans="1:36" ht="15.7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96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</row>
    <row r="841" spans="1:36" ht="15.7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96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</row>
    <row r="842" spans="1:36" ht="15.7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96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</row>
    <row r="843" spans="1:36" ht="15.7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96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</row>
    <row r="844" spans="1:36" ht="15.7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96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</row>
    <row r="845" spans="1:36" ht="15.7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96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</row>
    <row r="846" spans="1:36" ht="15.7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96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</row>
    <row r="847" spans="1:36" ht="15.7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96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</row>
    <row r="848" spans="1:36" ht="15.7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96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 spans="1:36" ht="15.7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96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spans="1:36" ht="15.7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96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spans="1:36" ht="15.7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96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spans="1:36" ht="15.7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96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spans="1:36" ht="15.7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96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spans="1:36" ht="15.7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96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spans="1:36" ht="15.7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96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spans="1:36" ht="15.7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96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spans="1:36" ht="15.7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96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spans="1:36" ht="15.7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96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spans="1:36" ht="15.7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96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spans="1:36" ht="15.7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96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spans="1:36" ht="15.7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96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spans="1:36" ht="15.7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96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spans="1:36" ht="15.7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96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spans="1:36" ht="15.7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96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spans="1:36" ht="15.7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96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spans="1:36" ht="15.7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96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spans="1:36" ht="15.7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96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spans="1:36" ht="15.7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96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spans="1:36" ht="15.7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96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spans="1:36" ht="15.7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96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spans="1:36" ht="15.7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96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spans="1:36" ht="15.7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96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spans="1:36" ht="15.7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96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spans="1:36" ht="15.7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96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spans="1:36" ht="15.7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96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spans="1:36" ht="15.7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96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spans="1:36" ht="15.7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96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spans="1:36" ht="15.7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96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spans="1:36" ht="15.7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96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spans="1:36" ht="15.7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96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spans="1:36" ht="15.7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96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spans="1:36" ht="15.7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96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spans="1:36" ht="15.7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96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spans="1:36" ht="15.7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96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spans="1:36" ht="15.7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96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spans="1:36" ht="15.7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96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spans="1:36" ht="15.7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96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spans="1:36" ht="15.7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96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spans="1:36" ht="15.7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96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spans="1:36" ht="15.7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96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spans="1:36" ht="15.7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96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 spans="1:36" ht="15.7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96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</row>
    <row r="893" spans="1:36" ht="15.7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96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</row>
    <row r="894" spans="1:36" ht="15.7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96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</row>
    <row r="895" spans="1:36" ht="15.7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96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</row>
    <row r="896" spans="1:36" ht="15.7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96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</row>
    <row r="897" spans="1:36" ht="15.7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96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</row>
    <row r="898" spans="1:36" ht="15.7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96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</row>
    <row r="899" spans="1:36" ht="15.7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96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</row>
    <row r="900" spans="1:36" ht="15.7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96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</row>
    <row r="901" spans="1:36" ht="15.7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96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</row>
    <row r="902" spans="1:36" ht="15.7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96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</row>
    <row r="903" spans="1:36" ht="15.7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96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</row>
    <row r="904" spans="1:36" ht="15.7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96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</row>
    <row r="905" spans="1:36" ht="15.7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96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</row>
    <row r="906" spans="1:36" ht="15.7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96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</row>
    <row r="907" spans="1:36" ht="15.7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96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</row>
    <row r="908" spans="1:36" ht="15.7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96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</row>
    <row r="909" spans="1:36" ht="15.7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96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</row>
    <row r="910" spans="1:36" ht="15.7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96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</row>
    <row r="911" spans="1:36" ht="15.7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96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</row>
    <row r="912" spans="1:36" ht="15.7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96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</row>
    <row r="913" spans="1:36" ht="15.7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96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</row>
    <row r="914" spans="1:36" ht="15.7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96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</row>
    <row r="915" spans="1:36" ht="15.7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96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</row>
    <row r="916" spans="1:36" ht="15.7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96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</row>
    <row r="917" spans="1:36" ht="15.7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96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</row>
    <row r="918" spans="1:36" ht="15.7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96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</row>
    <row r="919" spans="1:36" ht="15.7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96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</row>
    <row r="920" spans="1:36" ht="15.7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96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</row>
    <row r="921" spans="1:36" ht="15.7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96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</row>
    <row r="922" spans="1:36" ht="15.7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96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</row>
    <row r="923" spans="1:36" ht="15.7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96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</row>
    <row r="924" spans="1:36" ht="15.7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96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</row>
    <row r="925" spans="1:36" ht="15.7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96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</row>
    <row r="926" spans="1:36" ht="15.7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96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</row>
    <row r="927" spans="1:36" ht="15.7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96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</row>
    <row r="928" spans="1:36" ht="15.7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96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</row>
    <row r="929" spans="1:36" ht="15.7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96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</row>
    <row r="930" spans="1:36" ht="15.7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96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</row>
    <row r="931" spans="1:36" ht="15.7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96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</row>
    <row r="932" spans="1:36" ht="15.7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96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</row>
    <row r="933" spans="1:36" ht="15.7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96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</row>
    <row r="934" spans="1:36" ht="15.7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96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</row>
    <row r="935" spans="1:36" ht="15.7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96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</row>
    <row r="936" spans="1:36" ht="15.7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96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</row>
    <row r="937" spans="1:36" ht="15.7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96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</row>
    <row r="938" spans="1:36" ht="15.7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96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 spans="1:36" ht="15.7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96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spans="1:36" ht="15.7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96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spans="1:36" ht="15.7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96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spans="1:36" ht="15.7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96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spans="1:36" ht="15.7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96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spans="1:36" ht="15.7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96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spans="1:36" ht="15.7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96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spans="1:36" ht="15.7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96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spans="1:36" ht="15.7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96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spans="1:36" ht="15.7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96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spans="1:36" ht="15.7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96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spans="1:36" ht="15.7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96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spans="1:36" ht="15.7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96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spans="1:36" ht="15.7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96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spans="1:36" ht="15.7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96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spans="1:36" ht="15.7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96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spans="1:36" ht="15.7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96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spans="1:36" ht="15.7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96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spans="1:36" ht="15.7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96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spans="1:36" ht="15.7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96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spans="1:36" ht="15.7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96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spans="1:36" ht="15.7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96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spans="1:36" ht="15.7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96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spans="1:36" ht="15.7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96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spans="1:36" ht="15.7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96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spans="1:36" ht="15.7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96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spans="1:36" ht="15.7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96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spans="1:36" ht="15.7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96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spans="1:36" ht="15.7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96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spans="1:36" ht="15.7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96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spans="1:36" ht="15.7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96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spans="1:36" ht="15.7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96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spans="1:36" ht="15.7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96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spans="1:36" ht="15.7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96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spans="1:36" ht="15.7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96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spans="1:36" ht="15.7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96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spans="1:36" ht="15.7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96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spans="1:36" ht="15.7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96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spans="1:36" ht="15.7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96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spans="1:36" ht="15.7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96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spans="1:36" ht="15.7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96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spans="1:36" ht="15.7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96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 spans="1:36" ht="15.7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96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  <row r="982" spans="1:36" ht="15.7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96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</row>
    <row r="983" spans="1:36" ht="15.7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96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</row>
    <row r="984" spans="1:36" ht="15.7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96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</row>
    <row r="985" spans="1:36" ht="15.7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96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</row>
    <row r="986" spans="1:36" ht="15.7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96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</row>
    <row r="987" spans="1:36" ht="15.7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96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</row>
    <row r="988" spans="1:36" ht="15.7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96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</row>
    <row r="989" spans="1:36" ht="15.7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96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</row>
    <row r="990" spans="1:36" ht="15.7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96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</row>
    <row r="991" spans="1:36" ht="15.7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96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</row>
    <row r="992" spans="1:36" ht="15.7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96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</row>
    <row r="993" spans="1:36" ht="15.7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96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</row>
    <row r="994" spans="1:36" ht="15.7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96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</row>
    <row r="995" spans="1:36" ht="15.7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96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</row>
    <row r="996" spans="1:36" ht="15.7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96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</row>
    <row r="997" spans="1:36" ht="15.7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96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</row>
    <row r="998" spans="1:36" ht="15.7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96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</row>
    <row r="999" spans="1:36" ht="15.7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96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</row>
    <row r="1000" spans="1:36" ht="15.75" customHeight="1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96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</row>
    <row r="1001" spans="1:36" ht="15.75" customHeight="1" x14ac:dyDescent="0.3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96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</row>
    <row r="1002" spans="1:36" ht="15.75" customHeight="1" x14ac:dyDescent="0.3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96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</row>
    <row r="1003" spans="1:36" ht="15.75" customHeight="1" x14ac:dyDescent="0.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96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</row>
    <row r="1004" spans="1:36" ht="15.75" customHeight="1" x14ac:dyDescent="0.3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96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</row>
    <row r="1005" spans="1:36" ht="15.75" customHeight="1" x14ac:dyDescent="0.3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96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</row>
    <row r="1006" spans="1:36" ht="15.75" customHeight="1" x14ac:dyDescent="0.3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96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</row>
    <row r="1007" spans="1:36" ht="15.75" customHeight="1" x14ac:dyDescent="0.3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96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</row>
    <row r="1008" spans="1:36" ht="15.75" customHeight="1" x14ac:dyDescent="0.3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96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</row>
    <row r="1009" spans="1:36" ht="15.75" customHeight="1" x14ac:dyDescent="0.3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96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</row>
  </sheetData>
  <mergeCells count="28">
    <mergeCell ref="AE21:AI21"/>
    <mergeCell ref="H46:H55"/>
    <mergeCell ref="H61:H70"/>
    <mergeCell ref="Q61:Q67"/>
    <mergeCell ref="Z61:Z65"/>
    <mergeCell ref="Q46:Q52"/>
    <mergeCell ref="Z46:Z50"/>
    <mergeCell ref="H16:H25"/>
    <mergeCell ref="Q16:Q22"/>
    <mergeCell ref="Z16:Z20"/>
    <mergeCell ref="H31:H40"/>
    <mergeCell ref="Q31:Q37"/>
    <mergeCell ref="Z31:Z35"/>
    <mergeCell ref="H76:H85"/>
    <mergeCell ref="Q76:Q82"/>
    <mergeCell ref="Z76:Z80"/>
    <mergeCell ref="D2:E2"/>
    <mergeCell ref="B3:B4"/>
    <mergeCell ref="D3:E3"/>
    <mergeCell ref="D4:E4"/>
    <mergeCell ref="B5:B10"/>
    <mergeCell ref="D5:G5"/>
    <mergeCell ref="D6:E6"/>
    <mergeCell ref="D9:E9"/>
    <mergeCell ref="D10:E10"/>
    <mergeCell ref="H14:I14"/>
    <mergeCell ref="D7:E7"/>
    <mergeCell ref="D8:E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13"/>
  <sheetViews>
    <sheetView topLeftCell="Q70" zoomScale="90" zoomScaleNormal="90" workbookViewId="0">
      <selection activeCell="AA80" sqref="AA80:AA85"/>
    </sheetView>
  </sheetViews>
  <sheetFormatPr defaultColWidth="14.44140625" defaultRowHeight="15" customHeight="1" x14ac:dyDescent="0.3"/>
  <cols>
    <col min="1" max="1" width="5.44140625" customWidth="1"/>
    <col min="2" max="2" width="17.6640625" customWidth="1"/>
    <col min="3" max="3" width="33.44140625" customWidth="1"/>
    <col min="4" max="4" width="15.44140625" customWidth="1"/>
    <col min="5" max="5" width="12.33203125" customWidth="1"/>
    <col min="6" max="6" width="11.88671875" customWidth="1"/>
    <col min="7" max="7" width="11.6640625" customWidth="1"/>
    <col min="8" max="8" width="17.88671875" customWidth="1"/>
    <col min="9" max="9" width="16.109375" customWidth="1"/>
    <col min="10" max="11" width="8.6640625" customWidth="1"/>
    <col min="12" max="12" width="37.44140625" customWidth="1"/>
    <col min="13" max="13" width="16" customWidth="1"/>
    <col min="14" max="14" width="14.109375" customWidth="1"/>
    <col min="15" max="15" width="10.33203125" customWidth="1"/>
    <col min="16" max="16" width="11.109375" customWidth="1"/>
    <col min="17" max="17" width="17.109375" customWidth="1"/>
    <col min="18" max="18" width="16.44140625" customWidth="1"/>
    <col min="19" max="20" width="8.6640625" customWidth="1"/>
    <col min="21" max="21" width="42.88671875" customWidth="1"/>
    <col min="22" max="22" width="16.33203125" customWidth="1"/>
    <col min="24" max="24" width="10.88671875" customWidth="1"/>
    <col min="25" max="25" width="14.33203125" customWidth="1"/>
    <col min="26" max="26" width="16" customWidth="1"/>
    <col min="27" max="27" width="16.6640625" customWidth="1"/>
    <col min="28" max="29" width="8.6640625" customWidth="1"/>
    <col min="30" max="30" width="9.44140625" customWidth="1"/>
    <col min="31" max="31" width="13.33203125" customWidth="1"/>
    <col min="32" max="32" width="12" customWidth="1"/>
    <col min="33" max="33" width="11.88671875" customWidth="1"/>
    <col min="34" max="34" width="11.44140625" customWidth="1"/>
    <col min="35" max="35" width="12.6640625" customWidth="1"/>
    <col min="36" max="36" width="12.33203125" customWidth="1"/>
  </cols>
  <sheetData>
    <row r="1" spans="1:36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96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5" customHeight="1" x14ac:dyDescent="0.3">
      <c r="A2" s="23"/>
      <c r="B2" s="23"/>
      <c r="C2" s="23"/>
      <c r="D2" s="189" t="s">
        <v>102</v>
      </c>
      <c r="E2" s="176"/>
      <c r="F2" s="25" t="s">
        <v>103</v>
      </c>
      <c r="G2" s="25" t="s">
        <v>104</v>
      </c>
      <c r="H2" s="26" t="s">
        <v>501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96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 ht="15" customHeight="1" x14ac:dyDescent="0.3">
      <c r="A3" s="23"/>
      <c r="B3" s="190" t="s">
        <v>105</v>
      </c>
      <c r="C3" s="26" t="s">
        <v>15</v>
      </c>
      <c r="D3" s="191">
        <v>2.5</v>
      </c>
      <c r="E3" s="176"/>
      <c r="F3" s="23">
        <v>3.3</v>
      </c>
      <c r="G3" s="28">
        <v>2.5</v>
      </c>
      <c r="H3" s="23" t="s">
        <v>106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96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1:36" ht="15" customHeight="1" x14ac:dyDescent="0.3">
      <c r="A4" s="23"/>
      <c r="B4" s="176"/>
      <c r="C4" s="26" t="s">
        <v>29</v>
      </c>
      <c r="D4" s="191">
        <v>3</v>
      </c>
      <c r="E4" s="176"/>
      <c r="F4" s="23"/>
      <c r="G4" s="28"/>
      <c r="H4" s="23" t="s">
        <v>106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96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96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 ht="15" customHeight="1" x14ac:dyDescent="0.3">
      <c r="A6" s="23"/>
      <c r="B6" s="176"/>
      <c r="C6" s="30" t="s">
        <v>111</v>
      </c>
      <c r="D6" s="191">
        <f>27+7</f>
        <v>34</v>
      </c>
      <c r="E6" s="176"/>
      <c r="F6" s="23">
        <v>14</v>
      </c>
      <c r="G6" s="23">
        <v>12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96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36" ht="15" customHeight="1" x14ac:dyDescent="0.3">
      <c r="A7" s="23"/>
      <c r="B7" s="176"/>
      <c r="C7" s="30" t="s">
        <v>112</v>
      </c>
      <c r="D7" s="191">
        <f>59+36</f>
        <v>95</v>
      </c>
      <c r="E7" s="176"/>
      <c r="F7" s="23">
        <v>49</v>
      </c>
      <c r="G7" s="23">
        <v>41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96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ht="15" customHeight="1" x14ac:dyDescent="0.3">
      <c r="A8" s="23"/>
      <c r="B8" s="176"/>
      <c r="C8" s="30" t="s">
        <v>113</v>
      </c>
      <c r="D8" s="191">
        <f>120+96</f>
        <v>216</v>
      </c>
      <c r="E8" s="176"/>
      <c r="F8" s="23">
        <v>61</v>
      </c>
      <c r="G8" s="23">
        <v>39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96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1:36" ht="15" customHeight="1" x14ac:dyDescent="0.3">
      <c r="A9" s="23"/>
      <c r="B9" s="176"/>
      <c r="C9" s="30" t="s">
        <v>114</v>
      </c>
      <c r="D9" s="191">
        <f>36+22</f>
        <v>58</v>
      </c>
      <c r="E9" s="176"/>
      <c r="F9" s="23">
        <v>41</v>
      </c>
      <c r="G9" s="23">
        <v>29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96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36" ht="15" customHeight="1" x14ac:dyDescent="0.3">
      <c r="A10" s="23"/>
      <c r="B10" s="176"/>
      <c r="C10" s="30" t="s">
        <v>115</v>
      </c>
      <c r="D10" s="191">
        <f>21+8</f>
        <v>29</v>
      </c>
      <c r="E10" s="176"/>
      <c r="F10" s="23">
        <v>21</v>
      </c>
      <c r="G10" s="23">
        <v>21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96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6" ht="15" customHeight="1" x14ac:dyDescent="0.3">
      <c r="A11" s="23"/>
      <c r="B11" s="31"/>
      <c r="C11" s="30" t="s">
        <v>116</v>
      </c>
      <c r="D11" s="191">
        <v>365</v>
      </c>
      <c r="E11" s="176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96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96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4.4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96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18" x14ac:dyDescent="0.35">
      <c r="A14" s="23"/>
      <c r="B14" s="23"/>
      <c r="C14" s="32" t="s">
        <v>502</v>
      </c>
      <c r="D14" s="69"/>
      <c r="E14" s="69"/>
      <c r="F14" s="69"/>
      <c r="G14" s="69"/>
      <c r="H14" s="184" t="s">
        <v>281</v>
      </c>
      <c r="I14" s="185"/>
      <c r="J14" s="23"/>
      <c r="K14" s="23"/>
      <c r="L14" s="32" t="s">
        <v>502</v>
      </c>
      <c r="M14" s="33"/>
      <c r="N14" s="33"/>
      <c r="O14" s="33"/>
      <c r="P14" s="33"/>
      <c r="Q14" s="33"/>
      <c r="R14" s="33"/>
      <c r="S14" s="23"/>
      <c r="T14" s="23"/>
      <c r="U14" s="97" t="s">
        <v>502</v>
      </c>
      <c r="V14" s="33"/>
      <c r="W14" s="33"/>
      <c r="X14" s="33"/>
      <c r="Y14" s="33"/>
      <c r="Z14" s="33"/>
      <c r="AA14" s="33"/>
      <c r="AB14" s="23"/>
      <c r="AC14" s="23"/>
      <c r="AD14" s="26" t="s">
        <v>346</v>
      </c>
      <c r="AE14" s="23"/>
      <c r="AF14" s="23"/>
      <c r="AG14" s="23"/>
      <c r="AH14" s="23"/>
      <c r="AI14" s="23"/>
      <c r="AJ14" s="23"/>
    </row>
    <row r="15" spans="1:36" ht="81" customHeight="1" x14ac:dyDescent="0.35">
      <c r="A15" s="23"/>
      <c r="B15" s="23"/>
      <c r="C15" s="43" t="s">
        <v>176</v>
      </c>
      <c r="D15" s="38" t="s">
        <v>122</v>
      </c>
      <c r="E15" s="38" t="s">
        <v>129</v>
      </c>
      <c r="F15" s="38" t="s">
        <v>130</v>
      </c>
      <c r="G15" s="38" t="s">
        <v>131</v>
      </c>
      <c r="H15" s="39" t="s">
        <v>126</v>
      </c>
      <c r="I15" s="40" t="s">
        <v>127</v>
      </c>
      <c r="J15" s="23"/>
      <c r="K15" s="23"/>
      <c r="L15" s="43" t="s">
        <v>177</v>
      </c>
      <c r="M15" s="38" t="s">
        <v>122</v>
      </c>
      <c r="N15" s="38" t="s">
        <v>129</v>
      </c>
      <c r="O15" s="38" t="s">
        <v>130</v>
      </c>
      <c r="P15" s="38" t="s">
        <v>131</v>
      </c>
      <c r="Q15" s="39" t="s">
        <v>126</v>
      </c>
      <c r="R15" s="40" t="s">
        <v>127</v>
      </c>
      <c r="S15" s="23"/>
      <c r="T15" s="23"/>
      <c r="U15" s="43" t="s">
        <v>178</v>
      </c>
      <c r="V15" s="38" t="s">
        <v>122</v>
      </c>
      <c r="W15" s="38" t="s">
        <v>129</v>
      </c>
      <c r="X15" s="38" t="s">
        <v>130</v>
      </c>
      <c r="Y15" s="38" t="s">
        <v>131</v>
      </c>
      <c r="Z15" s="39" t="s">
        <v>126</v>
      </c>
      <c r="AA15" s="40" t="s">
        <v>127</v>
      </c>
      <c r="AB15" s="23"/>
      <c r="AC15" s="23"/>
      <c r="AD15" s="44"/>
      <c r="AE15" s="99" t="s">
        <v>179</v>
      </c>
      <c r="AF15" s="100" t="s">
        <v>180</v>
      </c>
      <c r="AG15" s="100" t="s">
        <v>113</v>
      </c>
      <c r="AH15" s="100" t="s">
        <v>114</v>
      </c>
      <c r="AI15" s="100" t="s">
        <v>115</v>
      </c>
      <c r="AJ15" s="29" t="s">
        <v>213</v>
      </c>
    </row>
    <row r="16" spans="1:36" ht="19.5" customHeight="1" x14ac:dyDescent="0.35">
      <c r="A16" s="23"/>
      <c r="B16" s="23"/>
      <c r="C16" s="104" t="s">
        <v>133</v>
      </c>
      <c r="D16" s="105">
        <v>0</v>
      </c>
      <c r="E16" s="105">
        <v>0</v>
      </c>
      <c r="F16" s="106" t="s">
        <v>134</v>
      </c>
      <c r="G16" s="107"/>
      <c r="H16" s="202">
        <f>D6*D3*'Vehicle Infos'!K10</f>
        <v>270.3</v>
      </c>
      <c r="I16" s="104">
        <f>$D$6*E16*'Vehicle Infos'!$L$10</f>
        <v>0</v>
      </c>
      <c r="J16" s="23"/>
      <c r="K16" s="23"/>
      <c r="L16" s="44" t="s">
        <v>135</v>
      </c>
      <c r="M16" s="48">
        <v>0</v>
      </c>
      <c r="N16" s="47">
        <v>0</v>
      </c>
      <c r="O16" s="46" t="s">
        <v>134</v>
      </c>
      <c r="P16" s="107"/>
      <c r="Q16" s="202">
        <f>F6*F3*'Vehicle Infos'!K21</f>
        <v>146.43089999999998</v>
      </c>
      <c r="R16" s="108">
        <f>$F$6*N16*'Vehicle Infos'!$L$21</f>
        <v>0</v>
      </c>
      <c r="S16" s="23"/>
      <c r="T16" s="23"/>
      <c r="U16" s="101" t="s">
        <v>136</v>
      </c>
      <c r="V16" s="48">
        <v>0</v>
      </c>
      <c r="W16" s="47">
        <v>0</v>
      </c>
      <c r="X16" s="46" t="s">
        <v>134</v>
      </c>
      <c r="Y16" s="107">
        <v>0</v>
      </c>
      <c r="Z16" s="202">
        <f>G6*G3*'Vehicle Infos'!K29</f>
        <v>95.039999999999992</v>
      </c>
      <c r="AA16" s="108">
        <f>$G$6*W16*'Vehicle Infos'!$L$29</f>
        <v>0</v>
      </c>
      <c r="AB16" s="23"/>
      <c r="AC16" s="23"/>
      <c r="AD16" s="44" t="s">
        <v>203</v>
      </c>
      <c r="AE16" s="89">
        <f>SUM(H16:H25)*D11</f>
        <v>98659.5</v>
      </c>
      <c r="AF16" s="81">
        <f>SUM(H32:H41)*D11</f>
        <v>275666.25</v>
      </c>
      <c r="AG16" s="81">
        <f>SUM(H48:H57)*D11</f>
        <v>626778</v>
      </c>
      <c r="AH16" s="81">
        <f>SUM(H64:H73)*D11</f>
        <v>168301.5</v>
      </c>
      <c r="AI16" s="81">
        <f>SUM(H80:H89)*D11</f>
        <v>84150.75</v>
      </c>
      <c r="AJ16" s="81">
        <f>SUM(AE16:AI16)</f>
        <v>1253556</v>
      </c>
    </row>
    <row r="17" spans="1:36" ht="19.5" customHeight="1" x14ac:dyDescent="0.35">
      <c r="A17" s="23"/>
      <c r="B17" s="23"/>
      <c r="C17" s="104" t="s">
        <v>137</v>
      </c>
      <c r="D17" s="105">
        <v>7.5</v>
      </c>
      <c r="E17" s="105">
        <v>7.5</v>
      </c>
      <c r="F17" s="106" t="s">
        <v>138</v>
      </c>
      <c r="G17" s="107">
        <v>7</v>
      </c>
      <c r="H17" s="181"/>
      <c r="I17" s="104">
        <f>$D$6*E17*'Vehicle Infos'!$L$10</f>
        <v>65.665220000000005</v>
      </c>
      <c r="J17" s="23"/>
      <c r="K17" s="23"/>
      <c r="L17" s="44" t="s">
        <v>139</v>
      </c>
      <c r="M17" s="48">
        <v>1</v>
      </c>
      <c r="N17" s="47">
        <v>1</v>
      </c>
      <c r="O17" s="46" t="s">
        <v>140</v>
      </c>
      <c r="P17" s="47">
        <v>2</v>
      </c>
      <c r="Q17" s="181"/>
      <c r="R17" s="108">
        <f>$F$6*N17*'Vehicle Infos'!$L$21</f>
        <v>2.5454359999999996</v>
      </c>
      <c r="S17" s="23"/>
      <c r="T17" s="23"/>
      <c r="U17" s="101" t="s">
        <v>141</v>
      </c>
      <c r="V17" s="48">
        <v>3</v>
      </c>
      <c r="W17" s="51">
        <v>3</v>
      </c>
      <c r="X17" s="46" t="s">
        <v>503</v>
      </c>
      <c r="Y17" s="47">
        <v>4</v>
      </c>
      <c r="Z17" s="181"/>
      <c r="AA17" s="108">
        <f>$G$6*W17*'Vehicle Infos'!$L$29</f>
        <v>6.0152460000000003</v>
      </c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19.5" customHeight="1" x14ac:dyDescent="0.35">
      <c r="A18" s="23"/>
      <c r="B18" s="23"/>
      <c r="C18" s="104" t="s">
        <v>143</v>
      </c>
      <c r="D18" s="105">
        <v>8</v>
      </c>
      <c r="E18" s="105">
        <v>0.5</v>
      </c>
      <c r="F18" s="106" t="s">
        <v>402</v>
      </c>
      <c r="G18" s="107">
        <v>2</v>
      </c>
      <c r="H18" s="181"/>
      <c r="I18" s="104">
        <f>$D$6*E18*'Vehicle Infos'!$L$10</f>
        <v>4.3776813333333333</v>
      </c>
      <c r="J18" s="23"/>
      <c r="K18" s="23"/>
      <c r="L18" s="44" t="s">
        <v>145</v>
      </c>
      <c r="M18" s="48">
        <v>2.5</v>
      </c>
      <c r="N18" s="51">
        <v>1.5</v>
      </c>
      <c r="O18" s="46" t="s">
        <v>138</v>
      </c>
      <c r="P18" s="47">
        <v>5</v>
      </c>
      <c r="Q18" s="181"/>
      <c r="R18" s="108">
        <f>$F$6*N18*'Vehicle Infos'!$L$21</f>
        <v>3.8181539999999994</v>
      </c>
      <c r="S18" s="23"/>
      <c r="T18" s="23"/>
      <c r="U18" s="101" t="s">
        <v>146</v>
      </c>
      <c r="V18" s="48">
        <v>5.5</v>
      </c>
      <c r="W18" s="51">
        <v>2.5</v>
      </c>
      <c r="X18" s="46" t="s">
        <v>144</v>
      </c>
      <c r="Y18" s="47">
        <v>6</v>
      </c>
      <c r="Z18" s="181"/>
      <c r="AA18" s="108">
        <f>$G$6*W18*'Vehicle Infos'!$L$29</f>
        <v>5.0127050000000004</v>
      </c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ht="19.5" customHeight="1" x14ac:dyDescent="0.35">
      <c r="A19" s="23"/>
      <c r="B19" s="23"/>
      <c r="C19" s="104" t="s">
        <v>148</v>
      </c>
      <c r="D19" s="105">
        <v>9</v>
      </c>
      <c r="E19" s="105">
        <v>1</v>
      </c>
      <c r="F19" s="106" t="s">
        <v>347</v>
      </c>
      <c r="G19" s="107">
        <v>2</v>
      </c>
      <c r="H19" s="181"/>
      <c r="I19" s="104">
        <f>$D$6*E19*'Vehicle Infos'!$L$10</f>
        <v>8.7553626666666666</v>
      </c>
      <c r="J19" s="23"/>
      <c r="K19" s="23"/>
      <c r="L19" s="44" t="s">
        <v>150</v>
      </c>
      <c r="M19" s="48">
        <v>9</v>
      </c>
      <c r="N19" s="51">
        <v>6.5</v>
      </c>
      <c r="O19" s="46" t="s">
        <v>348</v>
      </c>
      <c r="P19" s="47">
        <v>9</v>
      </c>
      <c r="Q19" s="181"/>
      <c r="R19" s="108">
        <f>$F$6*N19*'Vehicle Infos'!$L$21</f>
        <v>16.545333999999997</v>
      </c>
      <c r="S19" s="23"/>
      <c r="T19" s="23"/>
      <c r="U19" s="101" t="s">
        <v>151</v>
      </c>
      <c r="V19" s="48">
        <v>7.5</v>
      </c>
      <c r="W19" s="51">
        <v>2</v>
      </c>
      <c r="X19" s="46" t="s">
        <v>152</v>
      </c>
      <c r="Y19" s="47">
        <v>9</v>
      </c>
      <c r="Z19" s="181"/>
      <c r="AA19" s="108">
        <f>$G$6*W19*'Vehicle Infos'!$L$29</f>
        <v>4.0101640000000005</v>
      </c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 ht="19.5" customHeight="1" x14ac:dyDescent="0.35">
      <c r="A20" s="23"/>
      <c r="B20" s="23"/>
      <c r="C20" s="104" t="s">
        <v>153</v>
      </c>
      <c r="D20" s="105">
        <v>10</v>
      </c>
      <c r="E20" s="105">
        <v>1</v>
      </c>
      <c r="F20" s="106" t="s">
        <v>149</v>
      </c>
      <c r="G20" s="107">
        <v>3</v>
      </c>
      <c r="H20" s="181"/>
      <c r="I20" s="104">
        <f>$D$6*E20*'Vehicle Infos'!$L$10</f>
        <v>8.7553626666666666</v>
      </c>
      <c r="J20" s="23"/>
      <c r="K20" s="23"/>
      <c r="L20" s="44" t="s">
        <v>155</v>
      </c>
      <c r="M20" s="48">
        <v>12</v>
      </c>
      <c r="N20" s="51">
        <v>3</v>
      </c>
      <c r="O20" s="46" t="s">
        <v>349</v>
      </c>
      <c r="P20" s="47">
        <v>4</v>
      </c>
      <c r="Q20" s="181"/>
      <c r="R20" s="108">
        <f>$F$6*N20*'Vehicle Infos'!$L$21</f>
        <v>7.6363079999999988</v>
      </c>
      <c r="S20" s="23"/>
      <c r="T20" s="23"/>
      <c r="U20" s="101" t="s">
        <v>156</v>
      </c>
      <c r="V20" s="48">
        <v>12</v>
      </c>
      <c r="W20" s="51">
        <v>4.5</v>
      </c>
      <c r="X20" s="46" t="s">
        <v>504</v>
      </c>
      <c r="Y20" s="47">
        <v>13</v>
      </c>
      <c r="Z20" s="193"/>
      <c r="AA20" s="108">
        <f>$G$6*W20*'Vehicle Infos'!$L$29</f>
        <v>9.022869</v>
      </c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 ht="19.5" customHeight="1" x14ac:dyDescent="0.35">
      <c r="A21" s="23"/>
      <c r="B21" s="23"/>
      <c r="C21" s="104" t="s">
        <v>158</v>
      </c>
      <c r="D21" s="105">
        <v>11</v>
      </c>
      <c r="E21" s="105">
        <v>1</v>
      </c>
      <c r="F21" s="106" t="s">
        <v>505</v>
      </c>
      <c r="G21" s="107">
        <v>10</v>
      </c>
      <c r="H21" s="181"/>
      <c r="I21" s="104">
        <f>$D$6*E21*'Vehicle Infos'!$L$10</f>
        <v>8.7553626666666666</v>
      </c>
      <c r="J21" s="23"/>
      <c r="K21" s="23"/>
      <c r="L21" s="44" t="s">
        <v>160</v>
      </c>
      <c r="M21" s="48">
        <v>15.5</v>
      </c>
      <c r="N21" s="51">
        <v>3.5</v>
      </c>
      <c r="O21" s="46" t="s">
        <v>288</v>
      </c>
      <c r="P21" s="91">
        <v>5</v>
      </c>
      <c r="Q21" s="181"/>
      <c r="R21" s="108">
        <f>$F$6*N21*'Vehicle Infos'!$L$21</f>
        <v>8.909025999999999</v>
      </c>
      <c r="S21" s="23"/>
      <c r="T21" s="23"/>
      <c r="U21" s="102" t="s">
        <v>162</v>
      </c>
      <c r="V21" s="48"/>
      <c r="W21" s="51">
        <f>SUM(W16:W20)</f>
        <v>12</v>
      </c>
      <c r="X21" s="46"/>
      <c r="Y21" s="92">
        <f>SUM(Y16:Y20)</f>
        <v>32</v>
      </c>
      <c r="Z21" s="109"/>
      <c r="AA21" s="108">
        <f>$G$6*W21*'Vehicle Infos'!$L$29</f>
        <v>24.060984000000001</v>
      </c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 ht="19.5" customHeight="1" x14ac:dyDescent="0.35">
      <c r="A22" s="23"/>
      <c r="B22" s="23"/>
      <c r="C22" s="104" t="s">
        <v>163</v>
      </c>
      <c r="D22" s="105">
        <v>12</v>
      </c>
      <c r="E22" s="105">
        <v>1</v>
      </c>
      <c r="F22" s="106" t="s">
        <v>506</v>
      </c>
      <c r="G22" s="107">
        <v>3</v>
      </c>
      <c r="H22" s="181"/>
      <c r="I22" s="104">
        <f>$D$6*E22*'Vehicle Infos'!$L$10</f>
        <v>8.7553626666666666</v>
      </c>
      <c r="J22" s="23"/>
      <c r="K22" s="23"/>
      <c r="L22" s="44" t="s">
        <v>165</v>
      </c>
      <c r="M22" s="48">
        <v>18.5</v>
      </c>
      <c r="N22" s="51">
        <v>3</v>
      </c>
      <c r="O22" s="46" t="s">
        <v>166</v>
      </c>
      <c r="P22" s="47">
        <v>5</v>
      </c>
      <c r="Q22" s="193"/>
      <c r="R22" s="108">
        <f>$F$6*N22*'Vehicle Infos'!$L$21</f>
        <v>7.6363079999999988</v>
      </c>
      <c r="S22" s="23"/>
      <c r="T22" s="23"/>
      <c r="U22" s="101"/>
      <c r="V22" s="48"/>
      <c r="W22" s="51"/>
      <c r="X22" s="46"/>
      <c r="Y22" s="47"/>
      <c r="Z22" s="109"/>
      <c r="AA22" s="108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 ht="19.5" customHeight="1" x14ac:dyDescent="0.35">
      <c r="A23" s="23"/>
      <c r="B23" s="23"/>
      <c r="C23" s="104" t="s">
        <v>167</v>
      </c>
      <c r="D23" s="105">
        <v>14</v>
      </c>
      <c r="E23" s="105">
        <v>2</v>
      </c>
      <c r="F23" s="106" t="s">
        <v>183</v>
      </c>
      <c r="G23" s="107">
        <v>3</v>
      </c>
      <c r="H23" s="181"/>
      <c r="I23" s="104">
        <f>$D$6*E23*'Vehicle Infos'!$L$10</f>
        <v>17.510725333333333</v>
      </c>
      <c r="J23" s="23"/>
      <c r="K23" s="23"/>
      <c r="L23" s="54" t="s">
        <v>162</v>
      </c>
      <c r="M23" s="49"/>
      <c r="N23" s="45">
        <f>SUM(N16:N22)</f>
        <v>18.5</v>
      </c>
      <c r="O23" s="58"/>
      <c r="P23" s="110">
        <f>SUM(P17:P22)</f>
        <v>30</v>
      </c>
      <c r="Q23" s="109"/>
      <c r="R23" s="108">
        <f>$F$6*N23*'Vehicle Infos'!$L$21</f>
        <v>47.090565999999995</v>
      </c>
      <c r="S23" s="23"/>
      <c r="T23" s="23"/>
      <c r="U23" s="96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ht="19.5" customHeight="1" x14ac:dyDescent="0.3">
      <c r="A24" s="23"/>
      <c r="B24" s="23"/>
      <c r="C24" s="104" t="s">
        <v>169</v>
      </c>
      <c r="D24" s="105">
        <v>14.5</v>
      </c>
      <c r="E24" s="105">
        <v>0.5</v>
      </c>
      <c r="F24" s="106" t="s">
        <v>355</v>
      </c>
      <c r="G24" s="107">
        <v>2</v>
      </c>
      <c r="H24" s="181"/>
      <c r="I24" s="104">
        <f>$D$6*E24*'Vehicle Infos'!$L$10</f>
        <v>4.3776813333333333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96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 ht="19.5" customHeight="1" x14ac:dyDescent="0.3">
      <c r="A25" s="23"/>
      <c r="B25" s="23"/>
      <c r="C25" s="104" t="s">
        <v>171</v>
      </c>
      <c r="D25" s="105">
        <v>15</v>
      </c>
      <c r="E25" s="105">
        <v>0.5</v>
      </c>
      <c r="F25" s="106" t="s">
        <v>507</v>
      </c>
      <c r="G25" s="107">
        <v>1</v>
      </c>
      <c r="H25" s="193"/>
      <c r="I25" s="104">
        <f>$D$6*E25*'Vehicle Infos'!$L$10</f>
        <v>4.3776813333333333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96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19.5" customHeight="1" x14ac:dyDescent="0.3">
      <c r="A26" s="23"/>
      <c r="B26" s="23"/>
      <c r="C26" s="70" t="s">
        <v>162</v>
      </c>
      <c r="D26" s="108"/>
      <c r="E26" s="105">
        <v>15</v>
      </c>
      <c r="F26" s="111"/>
      <c r="G26" s="110">
        <f>SUM(G17:G25)</f>
        <v>33</v>
      </c>
      <c r="H26" s="107"/>
      <c r="I26" s="104">
        <f>$D$6*E26*'Vehicle Infos'!$L$10</f>
        <v>131.33044000000001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96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1:36" ht="14.4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96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14.4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96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14.4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96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18" x14ac:dyDescent="0.35">
      <c r="A30" s="23"/>
      <c r="B30" s="23"/>
      <c r="C30" s="32" t="s">
        <v>508</v>
      </c>
      <c r="D30" s="69"/>
      <c r="E30" s="69"/>
      <c r="F30" s="69"/>
      <c r="G30" s="69"/>
      <c r="H30" s="69"/>
      <c r="I30" s="69"/>
      <c r="J30" s="23"/>
      <c r="K30" s="23"/>
      <c r="L30" s="32" t="s">
        <v>508</v>
      </c>
      <c r="M30" s="33"/>
      <c r="N30" s="33"/>
      <c r="O30" s="33"/>
      <c r="P30" s="33"/>
      <c r="Q30" s="33"/>
      <c r="R30" s="33"/>
      <c r="S30" s="23"/>
      <c r="T30" s="23"/>
      <c r="U30" s="97" t="s">
        <v>508</v>
      </c>
      <c r="V30" s="33"/>
      <c r="W30" s="33"/>
      <c r="X30" s="33"/>
      <c r="Y30" s="33"/>
      <c r="Z30" s="33"/>
      <c r="AA30" s="33"/>
      <c r="AB30" s="23"/>
      <c r="AC30" s="23"/>
      <c r="AD30" s="23"/>
      <c r="AE30" s="23"/>
      <c r="AF30" s="23"/>
      <c r="AG30" s="23"/>
      <c r="AH30" s="23"/>
      <c r="AI30" s="23"/>
      <c r="AJ30" s="23"/>
    </row>
    <row r="31" spans="1:36" ht="81" customHeight="1" x14ac:dyDescent="0.3">
      <c r="A31" s="23"/>
      <c r="B31" s="23"/>
      <c r="C31" s="43" t="s">
        <v>176</v>
      </c>
      <c r="D31" s="38" t="s">
        <v>122</v>
      </c>
      <c r="E31" s="38" t="s">
        <v>129</v>
      </c>
      <c r="F31" s="38" t="s">
        <v>130</v>
      </c>
      <c r="G31" s="38" t="s">
        <v>131</v>
      </c>
      <c r="H31" s="39" t="s">
        <v>126</v>
      </c>
      <c r="I31" s="40" t="s">
        <v>127</v>
      </c>
      <c r="J31" s="23"/>
      <c r="K31" s="23"/>
      <c r="L31" s="43" t="s">
        <v>177</v>
      </c>
      <c r="M31" s="38" t="s">
        <v>122</v>
      </c>
      <c r="N31" s="38" t="s">
        <v>129</v>
      </c>
      <c r="O31" s="38" t="s">
        <v>130</v>
      </c>
      <c r="P31" s="38" t="s">
        <v>131</v>
      </c>
      <c r="Q31" s="39" t="s">
        <v>126</v>
      </c>
      <c r="R31" s="40" t="s">
        <v>127</v>
      </c>
      <c r="S31" s="23"/>
      <c r="T31" s="23"/>
      <c r="U31" s="43" t="s">
        <v>178</v>
      </c>
      <c r="V31" s="38" t="s">
        <v>122</v>
      </c>
      <c r="W31" s="38" t="s">
        <v>129</v>
      </c>
      <c r="X31" s="38" t="s">
        <v>130</v>
      </c>
      <c r="Y31" s="38" t="s">
        <v>131</v>
      </c>
      <c r="Z31" s="39" t="s">
        <v>126</v>
      </c>
      <c r="AA31" s="40" t="s">
        <v>127</v>
      </c>
      <c r="AB31" s="23"/>
      <c r="AC31" s="23"/>
      <c r="AD31" s="23"/>
      <c r="AE31" s="23"/>
      <c r="AF31" s="23"/>
      <c r="AG31" s="23"/>
      <c r="AH31" s="23"/>
      <c r="AI31" s="23"/>
      <c r="AJ31" s="23"/>
    </row>
    <row r="32" spans="1:36" ht="19.5" customHeight="1" x14ac:dyDescent="0.35">
      <c r="A32" s="23"/>
      <c r="B32" s="23"/>
      <c r="C32" s="104" t="s">
        <v>133</v>
      </c>
      <c r="D32" s="105">
        <v>0</v>
      </c>
      <c r="E32" s="105">
        <v>0</v>
      </c>
      <c r="F32" s="106" t="s">
        <v>509</v>
      </c>
      <c r="G32" s="107"/>
      <c r="H32" s="202">
        <f>D7*D3*'Vehicle Infos'!K10</f>
        <v>755.25</v>
      </c>
      <c r="I32" s="104">
        <f>$D$7*E32*'Vehicle Infos'!$L$10</f>
        <v>0</v>
      </c>
      <c r="J32" s="23"/>
      <c r="K32" s="23"/>
      <c r="L32" s="44" t="s">
        <v>135</v>
      </c>
      <c r="M32" s="48">
        <v>0</v>
      </c>
      <c r="N32" s="47">
        <v>0</v>
      </c>
      <c r="O32" s="46" t="s">
        <v>295</v>
      </c>
      <c r="P32" s="107"/>
      <c r="Q32" s="202">
        <f>F7*F3*'Vehicle Infos'!K21</f>
        <v>512.50814999999989</v>
      </c>
      <c r="R32" s="108">
        <f>$F$7*N32*'Vehicle Infos'!$L$21</f>
        <v>0</v>
      </c>
      <c r="S32" s="23"/>
      <c r="T32" s="23"/>
      <c r="U32" s="101" t="s">
        <v>136</v>
      </c>
      <c r="V32" s="48">
        <v>0</v>
      </c>
      <c r="W32" s="47">
        <v>0</v>
      </c>
      <c r="X32" s="46" t="s">
        <v>181</v>
      </c>
      <c r="Y32" s="47">
        <v>0</v>
      </c>
      <c r="Z32" s="202">
        <f>G7*G3*'Vehicle Infos'!K29</f>
        <v>324.71999999999997</v>
      </c>
      <c r="AA32" s="108">
        <f>$G$7*W32*'Vehicle Infos'!$L$29</f>
        <v>0</v>
      </c>
      <c r="AB32" s="23"/>
      <c r="AC32" s="23"/>
      <c r="AD32" s="23"/>
      <c r="AE32" s="23"/>
      <c r="AF32" s="23"/>
      <c r="AG32" s="23"/>
      <c r="AH32" s="23"/>
      <c r="AI32" s="23"/>
      <c r="AJ32" s="23"/>
    </row>
    <row r="33" spans="1:36" ht="19.5" customHeight="1" x14ac:dyDescent="0.35">
      <c r="A33" s="23"/>
      <c r="B33" s="23"/>
      <c r="C33" s="104" t="s">
        <v>137</v>
      </c>
      <c r="D33" s="105">
        <v>7.5</v>
      </c>
      <c r="E33" s="105">
        <v>7.5</v>
      </c>
      <c r="F33" s="106" t="s">
        <v>185</v>
      </c>
      <c r="G33" s="107">
        <v>7</v>
      </c>
      <c r="H33" s="181"/>
      <c r="I33" s="104">
        <f>$D$7*E33*'Vehicle Infos'!$L$10</f>
        <v>183.47635</v>
      </c>
      <c r="J33" s="23"/>
      <c r="K33" s="23"/>
      <c r="L33" s="44" t="s">
        <v>139</v>
      </c>
      <c r="M33" s="48">
        <v>1</v>
      </c>
      <c r="N33" s="47">
        <v>1</v>
      </c>
      <c r="O33" s="46" t="s">
        <v>297</v>
      </c>
      <c r="P33" s="47">
        <v>2</v>
      </c>
      <c r="Q33" s="181"/>
      <c r="R33" s="108">
        <f>$F$7*N33*'Vehicle Infos'!$L$21</f>
        <v>8.909025999999999</v>
      </c>
      <c r="S33" s="23"/>
      <c r="T33" s="23"/>
      <c r="U33" s="101" t="s">
        <v>141</v>
      </c>
      <c r="V33" s="48">
        <v>3</v>
      </c>
      <c r="W33" s="51">
        <v>3</v>
      </c>
      <c r="X33" s="46" t="s">
        <v>404</v>
      </c>
      <c r="Y33" s="107">
        <v>5</v>
      </c>
      <c r="Z33" s="181"/>
      <c r="AA33" s="108">
        <f>$G$7*W33*'Vehicle Infos'!$L$29</f>
        <v>20.552090500000002</v>
      </c>
      <c r="AB33" s="23"/>
      <c r="AC33" s="23"/>
      <c r="AD33" s="23"/>
      <c r="AE33" s="23"/>
      <c r="AF33" s="23"/>
      <c r="AG33" s="23"/>
      <c r="AH33" s="23"/>
      <c r="AI33" s="23"/>
      <c r="AJ33" s="23"/>
    </row>
    <row r="34" spans="1:36" ht="19.5" customHeight="1" x14ac:dyDescent="0.35">
      <c r="A34" s="23"/>
      <c r="B34" s="23"/>
      <c r="C34" s="104" t="s">
        <v>143</v>
      </c>
      <c r="D34" s="105">
        <v>8</v>
      </c>
      <c r="E34" s="105">
        <v>0.5</v>
      </c>
      <c r="F34" s="106" t="s">
        <v>296</v>
      </c>
      <c r="G34" s="107">
        <v>3</v>
      </c>
      <c r="H34" s="181"/>
      <c r="I34" s="104">
        <f>$D$7*E34*'Vehicle Infos'!$L$10</f>
        <v>12.231756666666666</v>
      </c>
      <c r="J34" s="23"/>
      <c r="K34" s="23"/>
      <c r="L34" s="44" t="s">
        <v>145</v>
      </c>
      <c r="M34" s="48">
        <v>2.5</v>
      </c>
      <c r="N34" s="51">
        <v>1.5</v>
      </c>
      <c r="O34" s="46" t="s">
        <v>510</v>
      </c>
      <c r="P34" s="47">
        <v>5</v>
      </c>
      <c r="Q34" s="181"/>
      <c r="R34" s="108">
        <f>$F$7*N34*'Vehicle Infos'!$L$21</f>
        <v>13.363538999999998</v>
      </c>
      <c r="S34" s="23"/>
      <c r="T34" s="23"/>
      <c r="U34" s="101" t="s">
        <v>146</v>
      </c>
      <c r="V34" s="48">
        <v>5.5</v>
      </c>
      <c r="W34" s="51">
        <v>2.5</v>
      </c>
      <c r="X34" s="46" t="s">
        <v>511</v>
      </c>
      <c r="Y34" s="107">
        <v>7</v>
      </c>
      <c r="Z34" s="181"/>
      <c r="AA34" s="108">
        <f>$G$7*W34*'Vehicle Infos'!$L$29</f>
        <v>17.126742083333333</v>
      </c>
      <c r="AB34" s="23"/>
      <c r="AC34" s="23"/>
      <c r="AD34" s="23"/>
      <c r="AE34" s="23"/>
      <c r="AF34" s="23"/>
      <c r="AG34" s="23"/>
      <c r="AH34" s="23"/>
      <c r="AI34" s="23"/>
      <c r="AJ34" s="23"/>
    </row>
    <row r="35" spans="1:36" ht="19.5" customHeight="1" x14ac:dyDescent="0.35">
      <c r="A35" s="23"/>
      <c r="B35" s="23"/>
      <c r="C35" s="104" t="s">
        <v>148</v>
      </c>
      <c r="D35" s="105">
        <v>9</v>
      </c>
      <c r="E35" s="105">
        <v>1</v>
      </c>
      <c r="F35" s="106" t="s">
        <v>465</v>
      </c>
      <c r="G35" s="107">
        <v>4</v>
      </c>
      <c r="H35" s="181"/>
      <c r="I35" s="104">
        <f>$D$7*E35*'Vehicle Infos'!$L$10</f>
        <v>24.463513333333331</v>
      </c>
      <c r="J35" s="23"/>
      <c r="K35" s="23"/>
      <c r="L35" s="44" t="s">
        <v>150</v>
      </c>
      <c r="M35" s="48">
        <v>9</v>
      </c>
      <c r="N35" s="51">
        <v>6.5</v>
      </c>
      <c r="O35" s="46" t="s">
        <v>405</v>
      </c>
      <c r="P35" s="47">
        <v>9</v>
      </c>
      <c r="Q35" s="181"/>
      <c r="R35" s="108">
        <f>$F$7*N35*'Vehicle Infos'!$L$21</f>
        <v>57.908668999999989</v>
      </c>
      <c r="S35" s="23"/>
      <c r="T35" s="23"/>
      <c r="U35" s="101" t="s">
        <v>151</v>
      </c>
      <c r="V35" s="48">
        <v>7.5</v>
      </c>
      <c r="W35" s="51">
        <v>2</v>
      </c>
      <c r="X35" s="46" t="s">
        <v>199</v>
      </c>
      <c r="Y35" s="107">
        <v>10</v>
      </c>
      <c r="Z35" s="181"/>
      <c r="AA35" s="108">
        <f>$G$7*W35*'Vehicle Infos'!$L$29</f>
        <v>13.701393666666668</v>
      </c>
      <c r="AB35" s="23"/>
      <c r="AC35" s="23"/>
      <c r="AD35" s="23"/>
      <c r="AE35" s="23"/>
      <c r="AF35" s="23"/>
      <c r="AG35" s="23"/>
      <c r="AH35" s="23"/>
      <c r="AI35" s="23"/>
      <c r="AJ35" s="23"/>
    </row>
    <row r="36" spans="1:36" ht="19.5" customHeight="1" x14ac:dyDescent="0.35">
      <c r="A36" s="23"/>
      <c r="B36" s="23"/>
      <c r="C36" s="104" t="s">
        <v>153</v>
      </c>
      <c r="D36" s="105">
        <v>10</v>
      </c>
      <c r="E36" s="105">
        <v>1</v>
      </c>
      <c r="F36" s="106" t="s">
        <v>361</v>
      </c>
      <c r="G36" s="107">
        <v>6</v>
      </c>
      <c r="H36" s="181"/>
      <c r="I36" s="104">
        <f>$D$7*E36*'Vehicle Infos'!$L$10</f>
        <v>24.463513333333331</v>
      </c>
      <c r="J36" s="23"/>
      <c r="K36" s="23"/>
      <c r="L36" s="44" t="s">
        <v>155</v>
      </c>
      <c r="M36" s="48">
        <v>12</v>
      </c>
      <c r="N36" s="51">
        <v>3</v>
      </c>
      <c r="O36" s="46" t="s">
        <v>296</v>
      </c>
      <c r="P36" s="47">
        <v>4</v>
      </c>
      <c r="Q36" s="181"/>
      <c r="R36" s="108">
        <f>$F$7*N36*'Vehicle Infos'!$L$21</f>
        <v>26.727077999999995</v>
      </c>
      <c r="S36" s="23"/>
      <c r="T36" s="23"/>
      <c r="U36" s="101" t="s">
        <v>156</v>
      </c>
      <c r="V36" s="48">
        <v>12</v>
      </c>
      <c r="W36" s="51">
        <v>4.5</v>
      </c>
      <c r="X36" s="46" t="s">
        <v>204</v>
      </c>
      <c r="Y36" s="107">
        <v>24</v>
      </c>
      <c r="Z36" s="193"/>
      <c r="AA36" s="108">
        <f>$G$7*W36*'Vehicle Infos'!$L$29</f>
        <v>30.828135750000001</v>
      </c>
      <c r="AB36" s="23"/>
      <c r="AC36" s="23"/>
      <c r="AD36" s="23"/>
      <c r="AE36" s="23"/>
      <c r="AF36" s="23"/>
      <c r="AG36" s="23"/>
      <c r="AH36" s="23"/>
      <c r="AI36" s="23"/>
      <c r="AJ36" s="23"/>
    </row>
    <row r="37" spans="1:36" ht="19.5" customHeight="1" x14ac:dyDescent="0.35">
      <c r="A37" s="23"/>
      <c r="B37" s="23"/>
      <c r="C37" s="104" t="s">
        <v>158</v>
      </c>
      <c r="D37" s="105">
        <v>11</v>
      </c>
      <c r="E37" s="105">
        <v>1</v>
      </c>
      <c r="F37" s="106" t="s">
        <v>512</v>
      </c>
      <c r="G37" s="107">
        <v>9</v>
      </c>
      <c r="H37" s="181"/>
      <c r="I37" s="104">
        <f>$D$7*E37*'Vehicle Infos'!$L$10</f>
        <v>24.463513333333331</v>
      </c>
      <c r="J37" s="23"/>
      <c r="K37" s="23"/>
      <c r="L37" s="44" t="s">
        <v>160</v>
      </c>
      <c r="M37" s="48">
        <v>15.5</v>
      </c>
      <c r="N37" s="51">
        <v>3.5</v>
      </c>
      <c r="O37" s="46" t="s">
        <v>465</v>
      </c>
      <c r="P37" s="91">
        <v>4</v>
      </c>
      <c r="Q37" s="181"/>
      <c r="R37" s="108">
        <f>$F$7*N37*'Vehicle Infos'!$L$21</f>
        <v>31.181590999999994</v>
      </c>
      <c r="S37" s="23"/>
      <c r="T37" s="23"/>
      <c r="U37" s="102" t="s">
        <v>162</v>
      </c>
      <c r="V37" s="48"/>
      <c r="W37" s="51">
        <f>SUM(W32:W36)</f>
        <v>12</v>
      </c>
      <c r="X37" s="46"/>
      <c r="Y37" s="92">
        <f>SUM(Y32:Y36)</f>
        <v>46</v>
      </c>
      <c r="Z37" s="109"/>
      <c r="AA37" s="108">
        <f>$G$7*W37*'Vehicle Infos'!$L$29</f>
        <v>82.208362000000008</v>
      </c>
      <c r="AB37" s="23"/>
      <c r="AC37" s="23"/>
      <c r="AD37" s="23"/>
      <c r="AE37" s="23"/>
      <c r="AF37" s="23"/>
      <c r="AG37" s="23"/>
      <c r="AH37" s="23"/>
      <c r="AI37" s="23"/>
      <c r="AJ37" s="23"/>
    </row>
    <row r="38" spans="1:36" ht="19.5" customHeight="1" x14ac:dyDescent="0.35">
      <c r="A38" s="23"/>
      <c r="B38" s="23"/>
      <c r="C38" s="104" t="s">
        <v>163</v>
      </c>
      <c r="D38" s="105">
        <v>12</v>
      </c>
      <c r="E38" s="105">
        <v>1</v>
      </c>
      <c r="F38" s="106" t="s">
        <v>513</v>
      </c>
      <c r="G38" s="107">
        <v>4</v>
      </c>
      <c r="H38" s="181"/>
      <c r="I38" s="104">
        <f>$D$7*E38*'Vehicle Infos'!$L$10</f>
        <v>24.463513333333331</v>
      </c>
      <c r="J38" s="23"/>
      <c r="K38" s="23"/>
      <c r="L38" s="44" t="s">
        <v>165</v>
      </c>
      <c r="M38" s="48">
        <v>18.5</v>
      </c>
      <c r="N38" s="51">
        <v>3</v>
      </c>
      <c r="O38" s="46" t="s">
        <v>361</v>
      </c>
      <c r="P38" s="47">
        <v>6</v>
      </c>
      <c r="Q38" s="193"/>
      <c r="R38" s="108">
        <f>$F$7*N38*'Vehicle Infos'!$L$21</f>
        <v>26.727077999999995</v>
      </c>
      <c r="S38" s="23"/>
      <c r="T38" s="23"/>
      <c r="U38" s="96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</row>
    <row r="39" spans="1:36" ht="19.5" customHeight="1" x14ac:dyDescent="0.35">
      <c r="A39" s="23"/>
      <c r="B39" s="23"/>
      <c r="C39" s="104" t="s">
        <v>167</v>
      </c>
      <c r="D39" s="105">
        <v>14</v>
      </c>
      <c r="E39" s="105">
        <v>2</v>
      </c>
      <c r="F39" s="106" t="s">
        <v>302</v>
      </c>
      <c r="G39" s="107">
        <v>6</v>
      </c>
      <c r="H39" s="181"/>
      <c r="I39" s="104">
        <f>$D$7*E39*'Vehicle Infos'!$L$10</f>
        <v>48.927026666666663</v>
      </c>
      <c r="J39" s="23"/>
      <c r="K39" s="23"/>
      <c r="L39" s="54" t="s">
        <v>162</v>
      </c>
      <c r="M39" s="49"/>
      <c r="N39" s="45">
        <f>SUM(N32:N38)</f>
        <v>18.5</v>
      </c>
      <c r="O39" s="58"/>
      <c r="P39" s="110">
        <f>SUM(P33:P38)</f>
        <v>30</v>
      </c>
      <c r="Q39" s="109"/>
      <c r="R39" s="108">
        <f>$F$7*N39*'Vehicle Infos'!$L$21</f>
        <v>164.81698099999997</v>
      </c>
      <c r="S39" s="23"/>
      <c r="T39" s="23"/>
      <c r="U39" s="96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</row>
    <row r="40" spans="1:36" ht="19.5" customHeight="1" x14ac:dyDescent="0.3">
      <c r="A40" s="23"/>
      <c r="B40" s="23"/>
      <c r="C40" s="104" t="s">
        <v>169</v>
      </c>
      <c r="D40" s="105">
        <v>14.5</v>
      </c>
      <c r="E40" s="105">
        <v>0.5</v>
      </c>
      <c r="F40" s="106" t="s">
        <v>514</v>
      </c>
      <c r="G40" s="107">
        <v>2</v>
      </c>
      <c r="H40" s="181"/>
      <c r="I40" s="104">
        <f>$D$7*E40*'Vehicle Infos'!$L$10</f>
        <v>12.231756666666666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96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ht="19.5" customHeight="1" x14ac:dyDescent="0.3">
      <c r="A41" s="23"/>
      <c r="B41" s="23"/>
      <c r="C41" s="104" t="s">
        <v>171</v>
      </c>
      <c r="D41" s="105">
        <v>15</v>
      </c>
      <c r="E41" s="105">
        <v>0.5</v>
      </c>
      <c r="F41" s="106" t="s">
        <v>515</v>
      </c>
      <c r="G41" s="107">
        <v>1</v>
      </c>
      <c r="H41" s="193"/>
      <c r="I41" s="104">
        <f>$D$7*E41*'Vehicle Infos'!$L$10</f>
        <v>12.231756666666666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96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ht="19.5" customHeight="1" x14ac:dyDescent="0.3">
      <c r="A42" s="23"/>
      <c r="B42" s="23"/>
      <c r="C42" s="70" t="s">
        <v>162</v>
      </c>
      <c r="D42" s="108"/>
      <c r="E42" s="105">
        <v>15</v>
      </c>
      <c r="F42" s="111"/>
      <c r="G42" s="110">
        <f>SUM(G33:G41)</f>
        <v>42</v>
      </c>
      <c r="H42" s="107"/>
      <c r="I42" s="104">
        <f>$D$7*E42*'Vehicle Infos'!$L$10</f>
        <v>366.95269999999999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96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96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6" ht="15.7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96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6" ht="15.7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96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</row>
    <row r="46" spans="1:36" ht="21" customHeight="1" x14ac:dyDescent="0.35">
      <c r="A46" s="23"/>
      <c r="B46" s="23"/>
      <c r="C46" s="32" t="s">
        <v>516</v>
      </c>
      <c r="D46" s="69"/>
      <c r="E46" s="69"/>
      <c r="F46" s="69"/>
      <c r="G46" s="69"/>
      <c r="H46" s="69"/>
      <c r="I46" s="69"/>
      <c r="J46" s="23"/>
      <c r="K46" s="23"/>
      <c r="L46" s="32" t="s">
        <v>516</v>
      </c>
      <c r="M46" s="33"/>
      <c r="N46" s="33"/>
      <c r="O46" s="33"/>
      <c r="P46" s="33"/>
      <c r="Q46" s="33"/>
      <c r="R46" s="33"/>
      <c r="S46" s="23"/>
      <c r="T46" s="23"/>
      <c r="U46" s="97" t="s">
        <v>516</v>
      </c>
      <c r="V46" s="33"/>
      <c r="W46" s="33"/>
      <c r="X46" s="33"/>
      <c r="Y46" s="33"/>
      <c r="Z46" s="33"/>
      <c r="AA46" s="3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6" ht="81" customHeight="1" x14ac:dyDescent="0.3">
      <c r="A47" s="23"/>
      <c r="B47" s="23"/>
      <c r="C47" s="43" t="s">
        <v>176</v>
      </c>
      <c r="D47" s="38" t="s">
        <v>122</v>
      </c>
      <c r="E47" s="38" t="s">
        <v>129</v>
      </c>
      <c r="F47" s="38" t="s">
        <v>130</v>
      </c>
      <c r="G47" s="38" t="s">
        <v>131</v>
      </c>
      <c r="H47" s="39" t="s">
        <v>126</v>
      </c>
      <c r="I47" s="40" t="s">
        <v>127</v>
      </c>
      <c r="J47" s="23"/>
      <c r="K47" s="23"/>
      <c r="L47" s="43" t="s">
        <v>177</v>
      </c>
      <c r="M47" s="38" t="s">
        <v>122</v>
      </c>
      <c r="N47" s="38" t="s">
        <v>129</v>
      </c>
      <c r="O47" s="38" t="s">
        <v>130</v>
      </c>
      <c r="P47" s="38" t="s">
        <v>131</v>
      </c>
      <c r="Q47" s="39" t="s">
        <v>126</v>
      </c>
      <c r="R47" s="40" t="s">
        <v>127</v>
      </c>
      <c r="S47" s="23"/>
      <c r="T47" s="23"/>
      <c r="U47" s="43" t="s">
        <v>178</v>
      </c>
      <c r="V47" s="38" t="s">
        <v>122</v>
      </c>
      <c r="W47" s="38" t="s">
        <v>129</v>
      </c>
      <c r="X47" s="38" t="s">
        <v>130</v>
      </c>
      <c r="Y47" s="38" t="s">
        <v>131</v>
      </c>
      <c r="Z47" s="39" t="s">
        <v>126</v>
      </c>
      <c r="AA47" s="40" t="s">
        <v>127</v>
      </c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6" ht="19.5" customHeight="1" x14ac:dyDescent="0.35">
      <c r="A48" s="23"/>
      <c r="B48" s="23"/>
      <c r="C48" s="104" t="s">
        <v>133</v>
      </c>
      <c r="D48" s="105">
        <v>0</v>
      </c>
      <c r="E48" s="105">
        <v>0</v>
      </c>
      <c r="F48" s="106" t="s">
        <v>372</v>
      </c>
      <c r="G48" s="107"/>
      <c r="H48" s="202">
        <f>D8*D3*'Vehicle Infos'!K10</f>
        <v>1717.2</v>
      </c>
      <c r="I48" s="104">
        <f>$D$8*E48*'Vehicle Infos'!$L$10</f>
        <v>0</v>
      </c>
      <c r="J48" s="23"/>
      <c r="K48" s="23"/>
      <c r="L48" s="44" t="s">
        <v>135</v>
      </c>
      <c r="M48" s="48">
        <v>0</v>
      </c>
      <c r="N48" s="47">
        <v>0</v>
      </c>
      <c r="O48" s="46" t="s">
        <v>214</v>
      </c>
      <c r="P48" s="107"/>
      <c r="Q48" s="202">
        <f>F8*F3*'Vehicle Infos'!K21</f>
        <v>638.02034999999989</v>
      </c>
      <c r="R48" s="108">
        <f>$F$8*N48*'Vehicle Infos'!$L$21</f>
        <v>0</v>
      </c>
      <c r="S48" s="23"/>
      <c r="T48" s="23"/>
      <c r="U48" s="101" t="s">
        <v>136</v>
      </c>
      <c r="V48" s="48">
        <v>0</v>
      </c>
      <c r="W48" s="47">
        <v>0</v>
      </c>
      <c r="X48" s="46" t="s">
        <v>214</v>
      </c>
      <c r="Y48" s="107">
        <v>0</v>
      </c>
      <c r="Z48" s="202">
        <f>G8*G3*'Vehicle Infos'!K29</f>
        <v>308.88</v>
      </c>
      <c r="AA48" s="108">
        <f>$G$8*W48*'Vehicle Infos'!$L$29</f>
        <v>0</v>
      </c>
      <c r="AB48" s="23"/>
      <c r="AC48" s="23"/>
      <c r="AD48" s="23"/>
      <c r="AE48" s="23"/>
      <c r="AF48" s="23"/>
      <c r="AG48" s="23"/>
      <c r="AH48" s="23"/>
      <c r="AI48" s="23"/>
      <c r="AJ48" s="23"/>
    </row>
    <row r="49" spans="1:36" ht="19.5" customHeight="1" x14ac:dyDescent="0.35">
      <c r="A49" s="23"/>
      <c r="B49" s="23"/>
      <c r="C49" s="104" t="s">
        <v>137</v>
      </c>
      <c r="D49" s="105">
        <v>7.5</v>
      </c>
      <c r="E49" s="105">
        <v>7.5</v>
      </c>
      <c r="F49" s="106" t="s">
        <v>470</v>
      </c>
      <c r="G49" s="107">
        <v>7</v>
      </c>
      <c r="H49" s="181"/>
      <c r="I49" s="104">
        <f>$D$8*E49*'Vehicle Infos'!$L$10</f>
        <v>417.16728000000001</v>
      </c>
      <c r="J49" s="23"/>
      <c r="K49" s="23"/>
      <c r="L49" s="44" t="s">
        <v>139</v>
      </c>
      <c r="M49" s="48">
        <v>1</v>
      </c>
      <c r="N49" s="47">
        <v>1</v>
      </c>
      <c r="O49" s="46" t="s">
        <v>517</v>
      </c>
      <c r="P49" s="47">
        <v>2</v>
      </c>
      <c r="Q49" s="181"/>
      <c r="R49" s="108">
        <f>$F$8*N49*'Vehicle Infos'!$L$21</f>
        <v>11.090828285714284</v>
      </c>
      <c r="S49" s="23"/>
      <c r="T49" s="23"/>
      <c r="U49" s="101" t="s">
        <v>141</v>
      </c>
      <c r="V49" s="48">
        <v>3</v>
      </c>
      <c r="W49" s="51">
        <v>3</v>
      </c>
      <c r="X49" s="46" t="s">
        <v>232</v>
      </c>
      <c r="Y49" s="47">
        <v>5</v>
      </c>
      <c r="Z49" s="181"/>
      <c r="AA49" s="108">
        <f>$G$8*W49*'Vehicle Infos'!$L$29</f>
        <v>19.549549500000001</v>
      </c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ht="19.5" customHeight="1" x14ac:dyDescent="0.35">
      <c r="A50" s="23"/>
      <c r="B50" s="23"/>
      <c r="C50" s="104" t="s">
        <v>143</v>
      </c>
      <c r="D50" s="105">
        <v>8</v>
      </c>
      <c r="E50" s="105">
        <v>0.5</v>
      </c>
      <c r="F50" s="106" t="s">
        <v>518</v>
      </c>
      <c r="G50" s="107">
        <v>2</v>
      </c>
      <c r="H50" s="181"/>
      <c r="I50" s="104">
        <f>$D$8*E50*'Vehicle Infos'!$L$10</f>
        <v>27.811152</v>
      </c>
      <c r="J50" s="23"/>
      <c r="K50" s="23"/>
      <c r="L50" s="44" t="s">
        <v>145</v>
      </c>
      <c r="M50" s="48">
        <v>2.5</v>
      </c>
      <c r="N50" s="51">
        <v>1.5</v>
      </c>
      <c r="O50" s="46" t="s">
        <v>519</v>
      </c>
      <c r="P50" s="47">
        <v>4</v>
      </c>
      <c r="Q50" s="181"/>
      <c r="R50" s="108">
        <f>$F$8*N50*'Vehicle Infos'!$L$21</f>
        <v>16.636242428571425</v>
      </c>
      <c r="S50" s="23"/>
      <c r="T50" s="23"/>
      <c r="U50" s="101" t="s">
        <v>146</v>
      </c>
      <c r="V50" s="48">
        <v>5.5</v>
      </c>
      <c r="W50" s="51">
        <v>2.5</v>
      </c>
      <c r="X50" s="46" t="s">
        <v>520</v>
      </c>
      <c r="Y50" s="47">
        <v>6</v>
      </c>
      <c r="Z50" s="181"/>
      <c r="AA50" s="108">
        <f>$G$8*W50*'Vehicle Infos'!$L$29</f>
        <v>16.29129125</v>
      </c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:36" ht="19.5" customHeight="1" x14ac:dyDescent="0.35">
      <c r="A51" s="23"/>
      <c r="B51" s="23"/>
      <c r="C51" s="104" t="s">
        <v>148</v>
      </c>
      <c r="D51" s="105">
        <v>9</v>
      </c>
      <c r="E51" s="105">
        <v>1</v>
      </c>
      <c r="F51" s="106" t="s">
        <v>521</v>
      </c>
      <c r="G51" s="107">
        <v>4</v>
      </c>
      <c r="H51" s="181"/>
      <c r="I51" s="104">
        <f>$D$8*E51*'Vehicle Infos'!$L$10</f>
        <v>55.622304</v>
      </c>
      <c r="J51" s="23"/>
      <c r="K51" s="23"/>
      <c r="L51" s="44" t="s">
        <v>150</v>
      </c>
      <c r="M51" s="48">
        <v>9</v>
      </c>
      <c r="N51" s="51">
        <v>6.5</v>
      </c>
      <c r="O51" s="46" t="s">
        <v>314</v>
      </c>
      <c r="P51" s="47">
        <v>9</v>
      </c>
      <c r="Q51" s="181"/>
      <c r="R51" s="108">
        <f>$F$8*N51*'Vehicle Infos'!$L$21</f>
        <v>72.090383857142839</v>
      </c>
      <c r="S51" s="23"/>
      <c r="T51" s="23"/>
      <c r="U51" s="101" t="s">
        <v>151</v>
      </c>
      <c r="V51" s="48">
        <v>7.5</v>
      </c>
      <c r="W51" s="51">
        <v>2</v>
      </c>
      <c r="X51" s="46" t="s">
        <v>522</v>
      </c>
      <c r="Y51" s="47">
        <v>9</v>
      </c>
      <c r="Z51" s="181"/>
      <c r="AA51" s="108">
        <f>$G$8*W51*'Vehicle Infos'!$L$29</f>
        <v>13.033033000000001</v>
      </c>
      <c r="AB51" s="23"/>
      <c r="AC51" s="23"/>
      <c r="AD51" s="23"/>
      <c r="AE51" s="23"/>
      <c r="AF51" s="23"/>
      <c r="AG51" s="23"/>
      <c r="AH51" s="23"/>
      <c r="AI51" s="23"/>
      <c r="AJ51" s="23"/>
    </row>
    <row r="52" spans="1:36" ht="19.5" customHeight="1" x14ac:dyDescent="0.35">
      <c r="A52" s="23"/>
      <c r="B52" s="23"/>
      <c r="C52" s="104" t="s">
        <v>153</v>
      </c>
      <c r="D52" s="105">
        <v>10</v>
      </c>
      <c r="E52" s="105">
        <v>1</v>
      </c>
      <c r="F52" s="106" t="s">
        <v>427</v>
      </c>
      <c r="G52" s="107">
        <v>2</v>
      </c>
      <c r="H52" s="181"/>
      <c r="I52" s="104">
        <f>$D$8*E52*'Vehicle Infos'!$L$10</f>
        <v>55.622304</v>
      </c>
      <c r="J52" s="23"/>
      <c r="K52" s="23"/>
      <c r="L52" s="44" t="s">
        <v>155</v>
      </c>
      <c r="M52" s="48">
        <v>12</v>
      </c>
      <c r="N52" s="51">
        <v>3</v>
      </c>
      <c r="O52" s="46" t="s">
        <v>523</v>
      </c>
      <c r="P52" s="47">
        <v>4</v>
      </c>
      <c r="Q52" s="181"/>
      <c r="R52" s="108">
        <f>$F$8*N52*'Vehicle Infos'!$L$21</f>
        <v>33.27248485714285</v>
      </c>
      <c r="S52" s="23"/>
      <c r="T52" s="23"/>
      <c r="U52" s="101" t="s">
        <v>156</v>
      </c>
      <c r="V52" s="48">
        <v>12</v>
      </c>
      <c r="W52" s="51">
        <v>4.5</v>
      </c>
      <c r="X52" s="46" t="s">
        <v>318</v>
      </c>
      <c r="Y52" s="47">
        <v>12</v>
      </c>
      <c r="Z52" s="193"/>
      <c r="AA52" s="108">
        <f>$G$8*W52*'Vehicle Infos'!$L$29</f>
        <v>29.324324250000004</v>
      </c>
      <c r="AB52" s="23"/>
      <c r="AC52" s="23"/>
      <c r="AD52" s="23"/>
      <c r="AE52" s="23"/>
      <c r="AF52" s="23"/>
      <c r="AG52" s="23"/>
      <c r="AH52" s="23"/>
      <c r="AI52" s="23"/>
      <c r="AJ52" s="23"/>
    </row>
    <row r="53" spans="1:36" ht="19.5" customHeight="1" x14ac:dyDescent="0.35">
      <c r="A53" s="23"/>
      <c r="B53" s="23"/>
      <c r="C53" s="104" t="s">
        <v>158</v>
      </c>
      <c r="D53" s="105">
        <v>11</v>
      </c>
      <c r="E53" s="105">
        <v>1</v>
      </c>
      <c r="F53" s="106" t="s">
        <v>524</v>
      </c>
      <c r="G53" s="107">
        <v>8</v>
      </c>
      <c r="H53" s="181"/>
      <c r="I53" s="104">
        <f>$D$8*E53*'Vehicle Infos'!$L$10</f>
        <v>55.622304</v>
      </c>
      <c r="J53" s="23"/>
      <c r="K53" s="23"/>
      <c r="L53" s="44" t="s">
        <v>160</v>
      </c>
      <c r="M53" s="48">
        <v>15.5</v>
      </c>
      <c r="N53" s="51">
        <v>3.5</v>
      </c>
      <c r="O53" s="46" t="s">
        <v>229</v>
      </c>
      <c r="P53" s="91">
        <v>5</v>
      </c>
      <c r="Q53" s="181"/>
      <c r="R53" s="108">
        <f>$F$8*N53*'Vehicle Infos'!$L$21</f>
        <v>38.817898999999997</v>
      </c>
      <c r="S53" s="23"/>
      <c r="T53" s="23"/>
      <c r="U53" s="102" t="s">
        <v>162</v>
      </c>
      <c r="V53" s="48"/>
      <c r="W53" s="51">
        <f>SUM(W48:W52)</f>
        <v>12</v>
      </c>
      <c r="X53" s="46"/>
      <c r="Y53" s="92">
        <f>SUM(Y48:Y52)</f>
        <v>32</v>
      </c>
      <c r="Z53" s="109"/>
      <c r="AA53" s="108">
        <f>$G$8*W53*'Vehicle Infos'!$L$29</f>
        <v>78.198198000000005</v>
      </c>
      <c r="AB53" s="23"/>
      <c r="AC53" s="23"/>
      <c r="AD53" s="23"/>
      <c r="AE53" s="23"/>
      <c r="AF53" s="23"/>
      <c r="AG53" s="23"/>
      <c r="AH53" s="23"/>
      <c r="AI53" s="23"/>
      <c r="AJ53" s="23"/>
    </row>
    <row r="54" spans="1:36" ht="19.5" customHeight="1" x14ac:dyDescent="0.35">
      <c r="A54" s="23"/>
      <c r="B54" s="23"/>
      <c r="C54" s="104" t="s">
        <v>163</v>
      </c>
      <c r="D54" s="105">
        <v>12</v>
      </c>
      <c r="E54" s="105">
        <v>1</v>
      </c>
      <c r="F54" s="106" t="s">
        <v>525</v>
      </c>
      <c r="G54" s="107">
        <v>4</v>
      </c>
      <c r="H54" s="181"/>
      <c r="I54" s="104">
        <f>$D$8*E54*'Vehicle Infos'!$L$10</f>
        <v>55.622304</v>
      </c>
      <c r="J54" s="23"/>
      <c r="K54" s="23"/>
      <c r="L54" s="44" t="s">
        <v>165</v>
      </c>
      <c r="M54" s="48">
        <v>18.5</v>
      </c>
      <c r="N54" s="51">
        <v>3</v>
      </c>
      <c r="O54" s="46" t="s">
        <v>479</v>
      </c>
      <c r="P54" s="47">
        <v>6</v>
      </c>
      <c r="Q54" s="193"/>
      <c r="R54" s="108">
        <f>$F$8*N54*'Vehicle Infos'!$L$21</f>
        <v>33.27248485714285</v>
      </c>
      <c r="S54" s="23"/>
      <c r="T54" s="23"/>
      <c r="U54" s="96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</row>
    <row r="55" spans="1:36" ht="19.5" customHeight="1" x14ac:dyDescent="0.35">
      <c r="A55" s="23"/>
      <c r="B55" s="23"/>
      <c r="C55" s="104" t="s">
        <v>167</v>
      </c>
      <c r="D55" s="105">
        <v>14</v>
      </c>
      <c r="E55" s="105">
        <v>2</v>
      </c>
      <c r="F55" s="106" t="s">
        <v>218</v>
      </c>
      <c r="G55" s="107">
        <v>5</v>
      </c>
      <c r="H55" s="181"/>
      <c r="I55" s="104">
        <f>$D$8*E55*'Vehicle Infos'!$L$10</f>
        <v>111.244608</v>
      </c>
      <c r="J55" s="23"/>
      <c r="K55" s="23"/>
      <c r="L55" s="54" t="s">
        <v>162</v>
      </c>
      <c r="M55" s="49"/>
      <c r="N55" s="45">
        <f>SUM(N48:N54)</f>
        <v>18.5</v>
      </c>
      <c r="O55" s="58"/>
      <c r="P55" s="110">
        <f>SUM(P49:P54)</f>
        <v>30</v>
      </c>
      <c r="Q55" s="109"/>
      <c r="R55" s="108">
        <f>$F$8*N55*'Vehicle Infos'!$L$21</f>
        <v>205.18032328571425</v>
      </c>
      <c r="S55" s="23"/>
      <c r="T55" s="23"/>
      <c r="U55" s="96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</row>
    <row r="56" spans="1:36" ht="19.5" customHeight="1" x14ac:dyDescent="0.3">
      <c r="A56" s="23"/>
      <c r="B56" s="23"/>
      <c r="C56" s="104" t="s">
        <v>169</v>
      </c>
      <c r="D56" s="105">
        <v>14.5</v>
      </c>
      <c r="E56" s="105">
        <v>0.5</v>
      </c>
      <c r="F56" s="106" t="s">
        <v>526</v>
      </c>
      <c r="G56" s="107">
        <v>2</v>
      </c>
      <c r="H56" s="181"/>
      <c r="I56" s="104">
        <f>$D$8*E56*'Vehicle Infos'!$L$10</f>
        <v>27.811152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96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</row>
    <row r="57" spans="1:36" ht="19.5" customHeight="1" x14ac:dyDescent="0.3">
      <c r="A57" s="23"/>
      <c r="B57" s="23"/>
      <c r="C57" s="104" t="s">
        <v>171</v>
      </c>
      <c r="D57" s="105">
        <v>15</v>
      </c>
      <c r="E57" s="105">
        <v>0.5</v>
      </c>
      <c r="F57" s="106" t="s">
        <v>527</v>
      </c>
      <c r="G57" s="107">
        <v>1</v>
      </c>
      <c r="H57" s="193"/>
      <c r="I57" s="104">
        <f>$D$8*E57*'Vehicle Infos'!$L$10</f>
        <v>27.811152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96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:36" ht="19.5" customHeight="1" x14ac:dyDescent="0.3">
      <c r="A58" s="23"/>
      <c r="B58" s="23"/>
      <c r="C58" s="70" t="s">
        <v>162</v>
      </c>
      <c r="D58" s="108"/>
      <c r="E58" s="105">
        <v>15</v>
      </c>
      <c r="F58" s="111"/>
      <c r="G58" s="110">
        <f>SUM(G49:G57)</f>
        <v>35</v>
      </c>
      <c r="H58" s="107"/>
      <c r="I58" s="104">
        <f>$D$8*E58*'Vehicle Infos'!$L$10</f>
        <v>834.33456000000001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96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:36" ht="15.7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96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:36" ht="15.75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96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 spans="1:36" ht="15.7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96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</row>
    <row r="62" spans="1:36" ht="22.5" customHeight="1" x14ac:dyDescent="0.35">
      <c r="A62" s="23"/>
      <c r="B62" s="23"/>
      <c r="C62" s="32" t="s">
        <v>528</v>
      </c>
      <c r="D62" s="69"/>
      <c r="E62" s="69"/>
      <c r="F62" s="69"/>
      <c r="G62" s="69"/>
      <c r="H62" s="69"/>
      <c r="I62" s="69"/>
      <c r="J62" s="23"/>
      <c r="K62" s="23"/>
      <c r="L62" s="32" t="s">
        <v>528</v>
      </c>
      <c r="M62" s="33"/>
      <c r="N62" s="33"/>
      <c r="O62" s="33"/>
      <c r="P62" s="33"/>
      <c r="Q62" s="33"/>
      <c r="R62" s="33"/>
      <c r="S62" s="23"/>
      <c r="T62" s="23"/>
      <c r="U62" s="97" t="s">
        <v>528</v>
      </c>
      <c r="V62" s="33"/>
      <c r="W62" s="33"/>
      <c r="X62" s="33"/>
      <c r="Y62" s="33"/>
      <c r="Z62" s="33"/>
      <c r="AA62" s="33"/>
      <c r="AB62" s="23"/>
      <c r="AC62" s="23"/>
      <c r="AD62" s="23"/>
      <c r="AE62" s="23"/>
      <c r="AF62" s="23"/>
      <c r="AG62" s="23"/>
      <c r="AH62" s="23"/>
      <c r="AI62" s="23"/>
      <c r="AJ62" s="23"/>
    </row>
    <row r="63" spans="1:36" ht="84.75" customHeight="1" x14ac:dyDescent="0.3">
      <c r="A63" s="23"/>
      <c r="B63" s="23"/>
      <c r="C63" s="43" t="s">
        <v>176</v>
      </c>
      <c r="D63" s="38" t="s">
        <v>122</v>
      </c>
      <c r="E63" s="38" t="s">
        <v>129</v>
      </c>
      <c r="F63" s="38" t="s">
        <v>130</v>
      </c>
      <c r="G63" s="38" t="s">
        <v>131</v>
      </c>
      <c r="H63" s="39" t="s">
        <v>126</v>
      </c>
      <c r="I63" s="40" t="s">
        <v>127</v>
      </c>
      <c r="J63" s="23"/>
      <c r="K63" s="23"/>
      <c r="L63" s="43" t="s">
        <v>177</v>
      </c>
      <c r="M63" s="38" t="s">
        <v>122</v>
      </c>
      <c r="N63" s="38" t="s">
        <v>129</v>
      </c>
      <c r="O63" s="38" t="s">
        <v>130</v>
      </c>
      <c r="P63" s="38" t="s">
        <v>131</v>
      </c>
      <c r="Q63" s="39" t="s">
        <v>126</v>
      </c>
      <c r="R63" s="40" t="s">
        <v>127</v>
      </c>
      <c r="S63" s="23"/>
      <c r="T63" s="23"/>
      <c r="U63" s="117" t="s">
        <v>178</v>
      </c>
      <c r="V63" s="38" t="s">
        <v>122</v>
      </c>
      <c r="W63" s="38" t="s">
        <v>129</v>
      </c>
      <c r="X63" s="38" t="s">
        <v>130</v>
      </c>
      <c r="Y63" s="38" t="s">
        <v>131</v>
      </c>
      <c r="Z63" s="39" t="s">
        <v>126</v>
      </c>
      <c r="AA63" s="40" t="s">
        <v>127</v>
      </c>
      <c r="AB63" s="23"/>
      <c r="AC63" s="23"/>
      <c r="AD63" s="23"/>
      <c r="AE63" s="23"/>
      <c r="AF63" s="23"/>
      <c r="AG63" s="23"/>
      <c r="AH63" s="23"/>
      <c r="AI63" s="23"/>
      <c r="AJ63" s="23"/>
    </row>
    <row r="64" spans="1:36" ht="15.75" customHeight="1" x14ac:dyDescent="0.35">
      <c r="A64" s="23"/>
      <c r="B64" s="23"/>
      <c r="C64" s="104" t="s">
        <v>133</v>
      </c>
      <c r="D64" s="105">
        <v>0</v>
      </c>
      <c r="E64" s="105">
        <v>0</v>
      </c>
      <c r="F64" s="106" t="s">
        <v>238</v>
      </c>
      <c r="G64" s="107"/>
      <c r="H64" s="202">
        <f>D9*D3*'Vehicle Infos'!K10</f>
        <v>461.1</v>
      </c>
      <c r="I64" s="104">
        <f>$D$9*E64*'Vehicle Infos'!$L$10</f>
        <v>0</v>
      </c>
      <c r="J64" s="23"/>
      <c r="K64" s="23"/>
      <c r="L64" s="44" t="s">
        <v>135</v>
      </c>
      <c r="M64" s="48">
        <v>0</v>
      </c>
      <c r="N64" s="47">
        <v>0</v>
      </c>
      <c r="O64" s="46" t="s">
        <v>216</v>
      </c>
      <c r="P64" s="107"/>
      <c r="Q64" s="202">
        <f>F9*F3*'Vehicle Infos'!K21</f>
        <v>428.83334999999994</v>
      </c>
      <c r="R64" s="108">
        <f>$F$9*N64*'Vehicle Infos'!$L$21</f>
        <v>0</v>
      </c>
      <c r="S64" s="23"/>
      <c r="T64" s="23"/>
      <c r="U64" s="101" t="s">
        <v>136</v>
      </c>
      <c r="V64" s="48">
        <v>0</v>
      </c>
      <c r="W64" s="47">
        <v>0</v>
      </c>
      <c r="X64" s="46" t="s">
        <v>216</v>
      </c>
      <c r="Y64" s="47">
        <v>0</v>
      </c>
      <c r="Z64" s="202">
        <f>G9*G3*'Vehicle Infos'!K29</f>
        <v>229.67999999999998</v>
      </c>
      <c r="AA64" s="108">
        <f>$G$9*W64*'Vehicle Infos'!$L$29</f>
        <v>0</v>
      </c>
      <c r="AB64" s="23"/>
      <c r="AC64" s="23"/>
      <c r="AD64" s="23"/>
      <c r="AE64" s="23"/>
      <c r="AF64" s="23"/>
      <c r="AG64" s="23"/>
      <c r="AH64" s="23"/>
      <c r="AI64" s="23"/>
      <c r="AJ64" s="23"/>
    </row>
    <row r="65" spans="1:36" ht="15.75" customHeight="1" x14ac:dyDescent="0.35">
      <c r="A65" s="23"/>
      <c r="B65" s="23"/>
      <c r="C65" s="104" t="s">
        <v>137</v>
      </c>
      <c r="D65" s="105">
        <v>7.5</v>
      </c>
      <c r="E65" s="105">
        <v>7.5</v>
      </c>
      <c r="F65" s="106" t="s">
        <v>239</v>
      </c>
      <c r="G65" s="107">
        <v>7</v>
      </c>
      <c r="H65" s="181"/>
      <c r="I65" s="104">
        <f>$D$9*E65*'Vehicle Infos'!$L$10</f>
        <v>112.01714</v>
      </c>
      <c r="J65" s="23"/>
      <c r="K65" s="23"/>
      <c r="L65" s="44" t="s">
        <v>139</v>
      </c>
      <c r="M65" s="48">
        <v>1</v>
      </c>
      <c r="N65" s="47">
        <v>1</v>
      </c>
      <c r="O65" s="46" t="s">
        <v>240</v>
      </c>
      <c r="P65" s="47">
        <v>2</v>
      </c>
      <c r="Q65" s="181"/>
      <c r="R65" s="108">
        <f>$F$9*N65*'Vehicle Infos'!$L$21</f>
        <v>7.4544911428571421</v>
      </c>
      <c r="S65" s="23"/>
      <c r="T65" s="23"/>
      <c r="U65" s="101" t="s">
        <v>141</v>
      </c>
      <c r="V65" s="48">
        <v>3</v>
      </c>
      <c r="W65" s="51">
        <v>3</v>
      </c>
      <c r="X65" s="46" t="s">
        <v>219</v>
      </c>
      <c r="Y65" s="47">
        <v>5</v>
      </c>
      <c r="Z65" s="181"/>
      <c r="AA65" s="108">
        <f>$G$9*W65*'Vehicle Infos'!$L$29</f>
        <v>14.536844500000001</v>
      </c>
      <c r="AB65" s="23"/>
      <c r="AC65" s="23"/>
      <c r="AD65" s="23"/>
      <c r="AE65" s="23"/>
      <c r="AF65" s="23"/>
      <c r="AG65" s="23"/>
      <c r="AH65" s="23"/>
      <c r="AI65" s="23"/>
      <c r="AJ65" s="23"/>
    </row>
    <row r="66" spans="1:36" ht="15.75" customHeight="1" x14ac:dyDescent="0.35">
      <c r="A66" s="23"/>
      <c r="B66" s="23"/>
      <c r="C66" s="104" t="s">
        <v>143</v>
      </c>
      <c r="D66" s="105">
        <v>8</v>
      </c>
      <c r="E66" s="105">
        <v>0.5</v>
      </c>
      <c r="F66" s="106" t="s">
        <v>431</v>
      </c>
      <c r="G66" s="107">
        <v>3</v>
      </c>
      <c r="H66" s="181"/>
      <c r="I66" s="104">
        <f>$D$9*E66*'Vehicle Infos'!$L$10</f>
        <v>7.4678093333333333</v>
      </c>
      <c r="J66" s="23"/>
      <c r="K66" s="23"/>
      <c r="L66" s="44" t="s">
        <v>145</v>
      </c>
      <c r="M66" s="48">
        <v>2.5</v>
      </c>
      <c r="N66" s="51">
        <v>1.5</v>
      </c>
      <c r="O66" s="46" t="s">
        <v>241</v>
      </c>
      <c r="P66" s="47">
        <v>4</v>
      </c>
      <c r="Q66" s="181"/>
      <c r="R66" s="108">
        <f>$F$9*N66*'Vehicle Infos'!$L$21</f>
        <v>11.181736714285712</v>
      </c>
      <c r="S66" s="23"/>
      <c r="T66" s="23"/>
      <c r="U66" s="101" t="s">
        <v>146</v>
      </c>
      <c r="V66" s="48">
        <v>5.5</v>
      </c>
      <c r="W66" s="51">
        <v>2.5</v>
      </c>
      <c r="X66" s="46" t="s">
        <v>529</v>
      </c>
      <c r="Y66" s="47">
        <v>6</v>
      </c>
      <c r="Z66" s="181"/>
      <c r="AA66" s="108">
        <f>$G$9*W66*'Vehicle Infos'!$L$29</f>
        <v>12.114037083333335</v>
      </c>
      <c r="AB66" s="23"/>
      <c r="AC66" s="23"/>
      <c r="AD66" s="23"/>
      <c r="AE66" s="23"/>
      <c r="AF66" s="23"/>
      <c r="AG66" s="23"/>
      <c r="AH66" s="23"/>
      <c r="AI66" s="23"/>
      <c r="AJ66" s="23"/>
    </row>
    <row r="67" spans="1:36" ht="15.75" customHeight="1" x14ac:dyDescent="0.35">
      <c r="A67" s="23"/>
      <c r="B67" s="23"/>
      <c r="C67" s="104" t="s">
        <v>148</v>
      </c>
      <c r="D67" s="105">
        <v>9</v>
      </c>
      <c r="E67" s="105">
        <v>1</v>
      </c>
      <c r="F67" s="106" t="s">
        <v>530</v>
      </c>
      <c r="G67" s="107">
        <v>4</v>
      </c>
      <c r="H67" s="181"/>
      <c r="I67" s="104">
        <f>$D$9*E67*'Vehicle Infos'!$L$10</f>
        <v>14.935618666666667</v>
      </c>
      <c r="J67" s="23"/>
      <c r="K67" s="23"/>
      <c r="L67" s="44" t="s">
        <v>150</v>
      </c>
      <c r="M67" s="48">
        <v>9</v>
      </c>
      <c r="N67" s="51">
        <v>6.5</v>
      </c>
      <c r="O67" s="46" t="s">
        <v>244</v>
      </c>
      <c r="P67" s="47">
        <v>9</v>
      </c>
      <c r="Q67" s="181"/>
      <c r="R67" s="108">
        <f>$F$9*N67*'Vehicle Infos'!$L$21</f>
        <v>48.454192428571417</v>
      </c>
      <c r="S67" s="23"/>
      <c r="T67" s="23"/>
      <c r="U67" s="101" t="s">
        <v>151</v>
      </c>
      <c r="V67" s="48">
        <v>7.5</v>
      </c>
      <c r="W67" s="51">
        <v>2</v>
      </c>
      <c r="X67" s="46" t="s">
        <v>483</v>
      </c>
      <c r="Y67" s="47">
        <v>10</v>
      </c>
      <c r="Z67" s="181"/>
      <c r="AA67" s="108">
        <f>$G$9*W67*'Vehicle Infos'!$L$29</f>
        <v>9.6912296666666666</v>
      </c>
      <c r="AB67" s="23"/>
      <c r="AC67" s="23"/>
      <c r="AD67" s="23"/>
      <c r="AE67" s="23"/>
      <c r="AF67" s="23"/>
      <c r="AG67" s="23"/>
      <c r="AH67" s="23"/>
      <c r="AI67" s="23"/>
      <c r="AJ67" s="23"/>
    </row>
    <row r="68" spans="1:36" ht="15.75" customHeight="1" x14ac:dyDescent="0.35">
      <c r="A68" s="23"/>
      <c r="B68" s="23"/>
      <c r="C68" s="104" t="s">
        <v>153</v>
      </c>
      <c r="D68" s="105">
        <v>10</v>
      </c>
      <c r="E68" s="105">
        <v>1</v>
      </c>
      <c r="F68" s="106" t="s">
        <v>323</v>
      </c>
      <c r="G68" s="107">
        <v>6</v>
      </c>
      <c r="H68" s="181"/>
      <c r="I68" s="104">
        <f>$D$9*E68*'Vehicle Infos'!$L$10</f>
        <v>14.935618666666667</v>
      </c>
      <c r="J68" s="23"/>
      <c r="K68" s="23"/>
      <c r="L68" s="44" t="s">
        <v>155</v>
      </c>
      <c r="M68" s="48">
        <v>12</v>
      </c>
      <c r="N68" s="51">
        <v>3</v>
      </c>
      <c r="O68" s="46" t="s">
        <v>531</v>
      </c>
      <c r="P68" s="47">
        <v>5</v>
      </c>
      <c r="Q68" s="181"/>
      <c r="R68" s="108">
        <f>$F$9*N68*'Vehicle Infos'!$L$21</f>
        <v>22.363473428571425</v>
      </c>
      <c r="S68" s="23"/>
      <c r="T68" s="23"/>
      <c r="U68" s="101" t="s">
        <v>156</v>
      </c>
      <c r="V68" s="48">
        <v>12</v>
      </c>
      <c r="W68" s="51">
        <v>4.5</v>
      </c>
      <c r="X68" s="46" t="s">
        <v>431</v>
      </c>
      <c r="Y68" s="47">
        <v>19</v>
      </c>
      <c r="Z68" s="193"/>
      <c r="AA68" s="108">
        <f>$G$9*W68*'Vehicle Infos'!$L$29</f>
        <v>21.805266750000001</v>
      </c>
      <c r="AB68" s="23"/>
      <c r="AC68" s="23"/>
      <c r="AD68" s="23"/>
      <c r="AE68" s="23"/>
      <c r="AF68" s="23"/>
      <c r="AG68" s="23"/>
      <c r="AH68" s="23"/>
      <c r="AI68" s="23"/>
      <c r="AJ68" s="23"/>
    </row>
    <row r="69" spans="1:36" ht="15.75" customHeight="1" x14ac:dyDescent="0.35">
      <c r="A69" s="23"/>
      <c r="B69" s="23"/>
      <c r="C69" s="104" t="s">
        <v>158</v>
      </c>
      <c r="D69" s="105">
        <v>11</v>
      </c>
      <c r="E69" s="105">
        <v>1</v>
      </c>
      <c r="F69" s="106" t="s">
        <v>247</v>
      </c>
      <c r="G69" s="107">
        <v>8</v>
      </c>
      <c r="H69" s="181"/>
      <c r="I69" s="104">
        <f>$D$9*E69*'Vehicle Infos'!$L$10</f>
        <v>14.935618666666667</v>
      </c>
      <c r="J69" s="23"/>
      <c r="K69" s="23"/>
      <c r="L69" s="44" t="s">
        <v>160</v>
      </c>
      <c r="M69" s="48">
        <v>15.5</v>
      </c>
      <c r="N69" s="51">
        <v>3.5</v>
      </c>
      <c r="O69" s="46" t="s">
        <v>532</v>
      </c>
      <c r="P69" s="47">
        <v>7</v>
      </c>
      <c r="Q69" s="181"/>
      <c r="R69" s="108">
        <f>$F$9*N69*'Vehicle Infos'!$L$21</f>
        <v>26.090718999999996</v>
      </c>
      <c r="S69" s="23"/>
      <c r="T69" s="23"/>
      <c r="U69" s="102" t="s">
        <v>162</v>
      </c>
      <c r="V69" s="48"/>
      <c r="W69" s="51">
        <f>SUM(W64:W68)</f>
        <v>12</v>
      </c>
      <c r="X69" s="46"/>
      <c r="Y69" s="75">
        <f>SUM(Y64:Y68)</f>
        <v>40</v>
      </c>
      <c r="Z69" s="109"/>
      <c r="AA69" s="108">
        <f>$G$9*W69*'Vehicle Infos'!$L$29</f>
        <v>58.147378000000003</v>
      </c>
      <c r="AB69" s="23"/>
      <c r="AC69" s="23"/>
      <c r="AD69" s="23"/>
      <c r="AE69" s="23"/>
      <c r="AF69" s="23"/>
      <c r="AG69" s="23"/>
      <c r="AH69" s="23"/>
      <c r="AI69" s="23"/>
      <c r="AJ69" s="23"/>
    </row>
    <row r="70" spans="1:36" ht="15.75" customHeight="1" x14ac:dyDescent="0.35">
      <c r="A70" s="23"/>
      <c r="B70" s="23"/>
      <c r="C70" s="104" t="s">
        <v>163</v>
      </c>
      <c r="D70" s="105">
        <v>12</v>
      </c>
      <c r="E70" s="105">
        <v>1</v>
      </c>
      <c r="F70" s="106" t="s">
        <v>437</v>
      </c>
      <c r="G70" s="107">
        <v>3</v>
      </c>
      <c r="H70" s="181"/>
      <c r="I70" s="104">
        <f>$D$9*E70*'Vehicle Infos'!$L$10</f>
        <v>14.935618666666667</v>
      </c>
      <c r="J70" s="23"/>
      <c r="K70" s="23"/>
      <c r="L70" s="44" t="s">
        <v>165</v>
      </c>
      <c r="M70" s="48">
        <v>18.5</v>
      </c>
      <c r="N70" s="51">
        <v>3</v>
      </c>
      <c r="O70" s="46" t="s">
        <v>533</v>
      </c>
      <c r="P70" s="47">
        <v>9</v>
      </c>
      <c r="Q70" s="193"/>
      <c r="R70" s="108">
        <f>$F$9*N70*'Vehicle Infos'!$L$21</f>
        <v>22.363473428571425</v>
      </c>
      <c r="S70" s="23"/>
      <c r="T70" s="23"/>
      <c r="U70" s="101"/>
      <c r="V70" s="48"/>
      <c r="W70" s="51"/>
      <c r="X70" s="46"/>
      <c r="Y70" s="47"/>
      <c r="Z70" s="109"/>
      <c r="AA70" s="108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:36" ht="15.75" customHeight="1" x14ac:dyDescent="0.35">
      <c r="A71" s="23"/>
      <c r="B71" s="23"/>
      <c r="C71" s="104" t="s">
        <v>167</v>
      </c>
      <c r="D71" s="105">
        <v>14</v>
      </c>
      <c r="E71" s="105">
        <v>2</v>
      </c>
      <c r="F71" s="106" t="s">
        <v>487</v>
      </c>
      <c r="G71" s="107">
        <v>7</v>
      </c>
      <c r="H71" s="181"/>
      <c r="I71" s="104">
        <f>$D$9*E71*'Vehicle Infos'!$L$10</f>
        <v>29.871237333333333</v>
      </c>
      <c r="J71" s="23"/>
      <c r="K71" s="23"/>
      <c r="L71" s="54" t="s">
        <v>162</v>
      </c>
      <c r="M71" s="49"/>
      <c r="N71" s="45">
        <f>SUM(N64:N70)</f>
        <v>18.5</v>
      </c>
      <c r="O71" s="58"/>
      <c r="P71" s="110">
        <f>SUM(P65:P70)</f>
        <v>36</v>
      </c>
      <c r="Q71" s="109"/>
      <c r="R71" s="108">
        <f>$F$9*N71*'Vehicle Infos'!$L$21</f>
        <v>137.90808614285712</v>
      </c>
      <c r="S71" s="23"/>
      <c r="T71" s="23"/>
      <c r="U71" s="96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1:36" ht="15.75" customHeight="1" x14ac:dyDescent="0.3">
      <c r="A72" s="23"/>
      <c r="B72" s="23"/>
      <c r="C72" s="104" t="s">
        <v>169</v>
      </c>
      <c r="D72" s="105">
        <v>14.5</v>
      </c>
      <c r="E72" s="105">
        <v>0.5</v>
      </c>
      <c r="F72" s="106" t="s">
        <v>383</v>
      </c>
      <c r="G72" s="107">
        <v>2</v>
      </c>
      <c r="H72" s="181"/>
      <c r="I72" s="104">
        <f>$D$9*E72*'Vehicle Infos'!$L$10</f>
        <v>7.4678093333333333</v>
      </c>
      <c r="J72" s="23"/>
      <c r="K72" s="23"/>
      <c r="L72" s="104"/>
      <c r="M72" s="105"/>
      <c r="N72" s="105"/>
      <c r="O72" s="106"/>
      <c r="P72" s="107"/>
      <c r="Q72" s="109"/>
      <c r="R72" s="108"/>
      <c r="S72" s="23"/>
      <c r="T72" s="23"/>
      <c r="U72" s="96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ht="15.75" customHeight="1" x14ac:dyDescent="0.3">
      <c r="A73" s="23"/>
      <c r="B73" s="23"/>
      <c r="C73" s="104" t="s">
        <v>171</v>
      </c>
      <c r="D73" s="105">
        <v>15</v>
      </c>
      <c r="E73" s="105">
        <v>0.5</v>
      </c>
      <c r="F73" s="106" t="s">
        <v>327</v>
      </c>
      <c r="G73" s="107">
        <v>1</v>
      </c>
      <c r="H73" s="193"/>
      <c r="I73" s="104">
        <f>$D$9*E73*'Vehicle Infos'!$L$10</f>
        <v>7.4678093333333333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96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ht="15.75" customHeight="1" x14ac:dyDescent="0.3">
      <c r="A74" s="23"/>
      <c r="B74" s="23"/>
      <c r="C74" s="70" t="s">
        <v>162</v>
      </c>
      <c r="D74" s="108"/>
      <c r="E74" s="105">
        <v>15</v>
      </c>
      <c r="F74" s="111"/>
      <c r="G74" s="110">
        <f>SUM(G65:G73)</f>
        <v>41</v>
      </c>
      <c r="H74" s="107"/>
      <c r="I74" s="104">
        <f>$D$9*E74*'Vehicle Infos'!$L$10</f>
        <v>224.03428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96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 spans="1:36" ht="15.7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96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</row>
    <row r="76" spans="1:36" ht="15.75" customHeight="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96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7" spans="1:36" ht="15.75" customHeight="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96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</row>
    <row r="78" spans="1:36" ht="18.75" customHeight="1" x14ac:dyDescent="0.35">
      <c r="A78" s="23"/>
      <c r="B78" s="23"/>
      <c r="C78" s="32" t="s">
        <v>534</v>
      </c>
      <c r="D78" s="69"/>
      <c r="E78" s="69"/>
      <c r="F78" s="69"/>
      <c r="G78" s="69"/>
      <c r="H78" s="69"/>
      <c r="I78" s="69"/>
      <c r="J78" s="23"/>
      <c r="K78" s="23"/>
      <c r="L78" s="32" t="s">
        <v>534</v>
      </c>
      <c r="M78" s="33"/>
      <c r="N78" s="33"/>
      <c r="O78" s="33"/>
      <c r="P78" s="33"/>
      <c r="Q78" s="33"/>
      <c r="R78" s="33"/>
      <c r="S78" s="23"/>
      <c r="T78" s="23"/>
      <c r="U78" s="97" t="s">
        <v>534</v>
      </c>
      <c r="V78" s="33"/>
      <c r="W78" s="33"/>
      <c r="X78" s="33"/>
      <c r="Y78" s="33"/>
      <c r="Z78" s="33"/>
      <c r="AA78" s="33"/>
      <c r="AB78" s="23"/>
      <c r="AC78" s="23"/>
      <c r="AD78" s="23"/>
      <c r="AE78" s="23"/>
      <c r="AF78" s="23"/>
      <c r="AG78" s="23"/>
      <c r="AH78" s="23"/>
      <c r="AI78" s="23"/>
      <c r="AJ78" s="23"/>
    </row>
    <row r="79" spans="1:36" ht="78.75" customHeight="1" x14ac:dyDescent="0.3">
      <c r="A79" s="23"/>
      <c r="B79" s="23"/>
      <c r="C79" s="43" t="s">
        <v>176</v>
      </c>
      <c r="D79" s="38" t="s">
        <v>122</v>
      </c>
      <c r="E79" s="38" t="s">
        <v>129</v>
      </c>
      <c r="F79" s="38" t="s">
        <v>130</v>
      </c>
      <c r="G79" s="38" t="s">
        <v>131</v>
      </c>
      <c r="H79" s="39" t="s">
        <v>126</v>
      </c>
      <c r="I79" s="40" t="s">
        <v>127</v>
      </c>
      <c r="J79" s="23"/>
      <c r="K79" s="23"/>
      <c r="L79" s="43" t="s">
        <v>177</v>
      </c>
      <c r="M79" s="38" t="s">
        <v>122</v>
      </c>
      <c r="N79" s="38" t="s">
        <v>129</v>
      </c>
      <c r="O79" s="38" t="s">
        <v>130</v>
      </c>
      <c r="P79" s="38" t="s">
        <v>131</v>
      </c>
      <c r="Q79" s="39" t="s">
        <v>126</v>
      </c>
      <c r="R79" s="40" t="s">
        <v>127</v>
      </c>
      <c r="S79" s="23"/>
      <c r="T79" s="23"/>
      <c r="U79" s="117" t="s">
        <v>178</v>
      </c>
      <c r="V79" s="38" t="s">
        <v>122</v>
      </c>
      <c r="W79" s="38" t="s">
        <v>129</v>
      </c>
      <c r="X79" s="38" t="s">
        <v>130</v>
      </c>
      <c r="Y79" s="38" t="s">
        <v>131</v>
      </c>
      <c r="Z79" s="39" t="s">
        <v>126</v>
      </c>
      <c r="AA79" s="40" t="s">
        <v>127</v>
      </c>
      <c r="AB79" s="23"/>
      <c r="AC79" s="23"/>
      <c r="AD79" s="23"/>
      <c r="AE79" s="23"/>
      <c r="AF79" s="23"/>
      <c r="AG79" s="23"/>
      <c r="AH79" s="23"/>
      <c r="AI79" s="23"/>
      <c r="AJ79" s="23"/>
    </row>
    <row r="80" spans="1:36" ht="15.75" customHeight="1" x14ac:dyDescent="0.35">
      <c r="A80" s="23"/>
      <c r="B80" s="23"/>
      <c r="C80" s="104" t="s">
        <v>133</v>
      </c>
      <c r="D80" s="105">
        <v>0</v>
      </c>
      <c r="E80" s="105">
        <v>0</v>
      </c>
      <c r="F80" s="106" t="s">
        <v>535</v>
      </c>
      <c r="G80" s="107"/>
      <c r="H80" s="202">
        <f>D10*D3*'Vehicle Infos'!K10</f>
        <v>230.55</v>
      </c>
      <c r="I80" s="104">
        <f>$D$10*E80*'Vehicle Infos'!$L$10</f>
        <v>0</v>
      </c>
      <c r="J80" s="23"/>
      <c r="K80" s="23"/>
      <c r="L80" s="44" t="s">
        <v>135</v>
      </c>
      <c r="M80" s="48">
        <v>0</v>
      </c>
      <c r="N80" s="47">
        <v>0</v>
      </c>
      <c r="O80" s="46" t="s">
        <v>269</v>
      </c>
      <c r="P80" s="107"/>
      <c r="Q80" s="202">
        <f>F10*F3*'Vehicle Infos'!K21</f>
        <v>219.64634999999998</v>
      </c>
      <c r="R80" s="108">
        <f>$F$10*N80*'Vehicle Infos'!$L$21</f>
        <v>0</v>
      </c>
      <c r="S80" s="23"/>
      <c r="T80" s="23"/>
      <c r="U80" s="101" t="s">
        <v>136</v>
      </c>
      <c r="V80" s="48">
        <v>0</v>
      </c>
      <c r="W80" s="47">
        <v>0</v>
      </c>
      <c r="X80" s="46" t="s">
        <v>269</v>
      </c>
      <c r="Y80" s="107">
        <v>0</v>
      </c>
      <c r="Z80" s="202">
        <f>G10*G3*'Vehicle Infos'!K29</f>
        <v>166.32</v>
      </c>
      <c r="AA80" s="108">
        <f>$G$10*W80*'Vehicle Infos'!$L$29</f>
        <v>0</v>
      </c>
      <c r="AB80" s="23"/>
      <c r="AC80" s="23"/>
      <c r="AD80" s="23"/>
      <c r="AE80" s="23"/>
      <c r="AF80" s="23"/>
      <c r="AG80" s="23"/>
      <c r="AH80" s="23"/>
      <c r="AI80" s="23"/>
      <c r="AJ80" s="23"/>
    </row>
    <row r="81" spans="1:36" ht="15.75" customHeight="1" x14ac:dyDescent="0.35">
      <c r="A81" s="23"/>
      <c r="B81" s="23"/>
      <c r="C81" s="104" t="s">
        <v>137</v>
      </c>
      <c r="D81" s="105">
        <v>7.5</v>
      </c>
      <c r="E81" s="105">
        <v>7.5</v>
      </c>
      <c r="F81" s="106" t="s">
        <v>536</v>
      </c>
      <c r="G81" s="107">
        <v>7</v>
      </c>
      <c r="H81" s="181"/>
      <c r="I81" s="104">
        <f>$D$10*E81*'Vehicle Infos'!$L$10</f>
        <v>56.008569999999999</v>
      </c>
      <c r="J81" s="23"/>
      <c r="K81" s="23"/>
      <c r="L81" s="44" t="s">
        <v>139</v>
      </c>
      <c r="M81" s="48">
        <v>1</v>
      </c>
      <c r="N81" s="47">
        <v>1</v>
      </c>
      <c r="O81" s="46" t="s">
        <v>537</v>
      </c>
      <c r="P81" s="47">
        <v>2</v>
      </c>
      <c r="Q81" s="181"/>
      <c r="R81" s="108">
        <f>$F$10*N81*'Vehicle Infos'!$L$21</f>
        <v>3.8181539999999994</v>
      </c>
      <c r="S81" s="23"/>
      <c r="T81" s="23"/>
      <c r="U81" s="101" t="s">
        <v>141</v>
      </c>
      <c r="V81" s="48">
        <v>3</v>
      </c>
      <c r="W81" s="51">
        <v>3</v>
      </c>
      <c r="X81" s="46" t="s">
        <v>396</v>
      </c>
      <c r="Y81" s="47">
        <v>5</v>
      </c>
      <c r="Z81" s="181"/>
      <c r="AA81" s="108">
        <f>$G$10*W81*'Vehicle Infos'!$L$29</f>
        <v>10.526680500000001</v>
      </c>
      <c r="AB81" s="23"/>
      <c r="AC81" s="23"/>
      <c r="AD81" s="23"/>
      <c r="AE81" s="23"/>
      <c r="AF81" s="23"/>
      <c r="AG81" s="23"/>
      <c r="AH81" s="23"/>
      <c r="AI81" s="23"/>
      <c r="AJ81" s="23"/>
    </row>
    <row r="82" spans="1:36" ht="15.75" customHeight="1" x14ac:dyDescent="0.35">
      <c r="A82" s="23"/>
      <c r="B82" s="23"/>
      <c r="C82" s="104" t="s">
        <v>143</v>
      </c>
      <c r="D82" s="105">
        <v>8</v>
      </c>
      <c r="E82" s="105">
        <v>0.5</v>
      </c>
      <c r="F82" s="106" t="s">
        <v>538</v>
      </c>
      <c r="G82" s="107">
        <v>2</v>
      </c>
      <c r="H82" s="181"/>
      <c r="I82" s="104">
        <f>$D$10*E82*'Vehicle Infos'!$L$10</f>
        <v>3.7339046666666666</v>
      </c>
      <c r="J82" s="23"/>
      <c r="K82" s="23"/>
      <c r="L82" s="44" t="s">
        <v>145</v>
      </c>
      <c r="M82" s="48">
        <v>2.5</v>
      </c>
      <c r="N82" s="51">
        <v>1.5</v>
      </c>
      <c r="O82" s="46" t="s">
        <v>539</v>
      </c>
      <c r="P82" s="47">
        <v>4</v>
      </c>
      <c r="Q82" s="181"/>
      <c r="R82" s="108">
        <f>$F$10*N82*'Vehicle Infos'!$L$21</f>
        <v>5.7272309999999989</v>
      </c>
      <c r="S82" s="23"/>
      <c r="T82" s="23"/>
      <c r="U82" s="101" t="s">
        <v>146</v>
      </c>
      <c r="V82" s="48">
        <v>5.5</v>
      </c>
      <c r="W82" s="51">
        <v>2.5</v>
      </c>
      <c r="X82" s="46" t="s">
        <v>398</v>
      </c>
      <c r="Y82" s="47">
        <v>6</v>
      </c>
      <c r="Z82" s="181"/>
      <c r="AA82" s="108">
        <f>$G$10*W82*'Vehicle Infos'!$L$29</f>
        <v>8.7722337499999998</v>
      </c>
      <c r="AB82" s="23"/>
      <c r="AC82" s="23"/>
      <c r="AD82" s="23"/>
      <c r="AE82" s="23"/>
      <c r="AF82" s="23"/>
      <c r="AG82" s="23"/>
      <c r="AH82" s="23"/>
      <c r="AI82" s="23"/>
      <c r="AJ82" s="23"/>
    </row>
    <row r="83" spans="1:36" ht="15.75" customHeight="1" x14ac:dyDescent="0.35">
      <c r="A83" s="23"/>
      <c r="B83" s="23"/>
      <c r="C83" s="104" t="s">
        <v>148</v>
      </c>
      <c r="D83" s="105">
        <v>9</v>
      </c>
      <c r="E83" s="105">
        <v>1</v>
      </c>
      <c r="F83" s="106" t="s">
        <v>540</v>
      </c>
      <c r="G83" s="107">
        <v>4</v>
      </c>
      <c r="H83" s="181"/>
      <c r="I83" s="104">
        <f>$D$10*E83*'Vehicle Infos'!$L$10</f>
        <v>7.4678093333333333</v>
      </c>
      <c r="J83" s="23"/>
      <c r="K83" s="23"/>
      <c r="L83" s="44" t="s">
        <v>541</v>
      </c>
      <c r="M83" s="48">
        <v>9</v>
      </c>
      <c r="N83" s="51">
        <v>6.5</v>
      </c>
      <c r="O83" s="46" t="s">
        <v>542</v>
      </c>
      <c r="P83" s="47">
        <v>9</v>
      </c>
      <c r="Q83" s="181"/>
      <c r="R83" s="108">
        <f>$F$10*N83*'Vehicle Infos'!$L$21</f>
        <v>24.818000999999995</v>
      </c>
      <c r="S83" s="23"/>
      <c r="T83" s="23"/>
      <c r="U83" s="101" t="s">
        <v>151</v>
      </c>
      <c r="V83" s="48">
        <v>7.5</v>
      </c>
      <c r="W83" s="51">
        <v>2</v>
      </c>
      <c r="X83" s="46" t="s">
        <v>543</v>
      </c>
      <c r="Y83" s="47">
        <v>9</v>
      </c>
      <c r="Z83" s="181"/>
      <c r="AA83" s="108">
        <f>$G$10*W83*'Vehicle Infos'!$L$29</f>
        <v>7.0177870000000002</v>
      </c>
      <c r="AB83" s="23"/>
      <c r="AC83" s="23"/>
      <c r="AD83" s="23"/>
      <c r="AE83" s="23"/>
      <c r="AF83" s="23"/>
      <c r="AG83" s="23"/>
      <c r="AH83" s="23"/>
      <c r="AI83" s="23"/>
      <c r="AJ83" s="23"/>
    </row>
    <row r="84" spans="1:36" ht="15.75" customHeight="1" x14ac:dyDescent="0.35">
      <c r="A84" s="23"/>
      <c r="B84" s="23"/>
      <c r="C84" s="104" t="s">
        <v>153</v>
      </c>
      <c r="D84" s="105">
        <v>10</v>
      </c>
      <c r="E84" s="105">
        <v>1</v>
      </c>
      <c r="F84" s="106" t="s">
        <v>544</v>
      </c>
      <c r="G84" s="107">
        <v>2</v>
      </c>
      <c r="H84" s="181"/>
      <c r="I84" s="104">
        <f>$D$10*E84*'Vehicle Infos'!$L$10</f>
        <v>7.4678093333333333</v>
      </c>
      <c r="J84" s="23"/>
      <c r="K84" s="23"/>
      <c r="L84" s="44" t="s">
        <v>545</v>
      </c>
      <c r="M84" s="48">
        <v>12</v>
      </c>
      <c r="N84" s="51">
        <v>3</v>
      </c>
      <c r="O84" s="46" t="s">
        <v>546</v>
      </c>
      <c r="P84" s="47">
        <v>4</v>
      </c>
      <c r="Q84" s="181"/>
      <c r="R84" s="108">
        <f>$F$10*N84*'Vehicle Infos'!$L$21</f>
        <v>11.454461999999998</v>
      </c>
      <c r="S84" s="23"/>
      <c r="T84" s="23"/>
      <c r="U84" s="101" t="s">
        <v>156</v>
      </c>
      <c r="V84" s="48">
        <v>12</v>
      </c>
      <c r="W84" s="51">
        <v>4.5</v>
      </c>
      <c r="X84" s="46" t="s">
        <v>547</v>
      </c>
      <c r="Y84" s="47">
        <v>15</v>
      </c>
      <c r="Z84" s="193"/>
      <c r="AA84" s="108">
        <f>$G$10*W84*'Vehicle Infos'!$L$29</f>
        <v>15.790020750000002</v>
      </c>
      <c r="AB84" s="23"/>
      <c r="AC84" s="23"/>
      <c r="AD84" s="23"/>
      <c r="AE84" s="23"/>
      <c r="AF84" s="23"/>
      <c r="AG84" s="23"/>
      <c r="AH84" s="23"/>
      <c r="AI84" s="23"/>
      <c r="AJ84" s="23"/>
    </row>
    <row r="85" spans="1:36" ht="15.75" customHeight="1" x14ac:dyDescent="0.35">
      <c r="A85" s="23"/>
      <c r="B85" s="23"/>
      <c r="C85" s="104" t="s">
        <v>158</v>
      </c>
      <c r="D85" s="105">
        <v>11</v>
      </c>
      <c r="E85" s="105">
        <v>1</v>
      </c>
      <c r="F85" s="106" t="s">
        <v>548</v>
      </c>
      <c r="G85" s="107">
        <v>6</v>
      </c>
      <c r="H85" s="181"/>
      <c r="I85" s="104">
        <f>$D$10*E85*'Vehicle Infos'!$L$10</f>
        <v>7.4678093333333333</v>
      </c>
      <c r="J85" s="23"/>
      <c r="K85" s="23"/>
      <c r="L85" s="44" t="s">
        <v>160</v>
      </c>
      <c r="M85" s="48">
        <v>15.5</v>
      </c>
      <c r="N85" s="51">
        <v>3.5</v>
      </c>
      <c r="O85" s="46" t="s">
        <v>343</v>
      </c>
      <c r="P85" s="91">
        <v>6</v>
      </c>
      <c r="Q85" s="181"/>
      <c r="R85" s="108">
        <f>$F$10*N85*'Vehicle Infos'!$L$21</f>
        <v>13.363538999999998</v>
      </c>
      <c r="S85" s="23"/>
      <c r="T85" s="23"/>
      <c r="U85" s="102" t="s">
        <v>162</v>
      </c>
      <c r="V85" s="48"/>
      <c r="W85" s="51">
        <f>SUM(W80:W84)</f>
        <v>12</v>
      </c>
      <c r="X85" s="46"/>
      <c r="Y85" s="92">
        <f>SUM(Y80:Y84)</f>
        <v>35</v>
      </c>
      <c r="Z85" s="109"/>
      <c r="AA85" s="108">
        <f>$G$10*W85*'Vehicle Infos'!$L$29</f>
        <v>42.106722000000005</v>
      </c>
      <c r="AB85" s="23"/>
      <c r="AC85" s="23"/>
      <c r="AD85" s="23"/>
      <c r="AE85" s="23"/>
      <c r="AF85" s="23"/>
      <c r="AG85" s="23"/>
      <c r="AH85" s="23"/>
      <c r="AI85" s="23"/>
      <c r="AJ85" s="23"/>
    </row>
    <row r="86" spans="1:36" ht="15.75" customHeight="1" x14ac:dyDescent="0.35">
      <c r="A86" s="23"/>
      <c r="B86" s="23"/>
      <c r="C86" s="104" t="s">
        <v>163</v>
      </c>
      <c r="D86" s="105">
        <v>12</v>
      </c>
      <c r="E86" s="105">
        <v>1</v>
      </c>
      <c r="F86" s="106" t="s">
        <v>549</v>
      </c>
      <c r="G86" s="107">
        <v>4</v>
      </c>
      <c r="H86" s="181"/>
      <c r="I86" s="104">
        <f>$D$10*E86*'Vehicle Infos'!$L$10</f>
        <v>7.4678093333333333</v>
      </c>
      <c r="J86" s="23"/>
      <c r="K86" s="23"/>
      <c r="L86" s="44" t="s">
        <v>165</v>
      </c>
      <c r="M86" s="48">
        <v>18.5</v>
      </c>
      <c r="N86" s="51">
        <v>3</v>
      </c>
      <c r="O86" s="46" t="s">
        <v>550</v>
      </c>
      <c r="P86" s="47">
        <v>7</v>
      </c>
      <c r="Q86" s="193"/>
      <c r="R86" s="108">
        <f>$F$10*N86*'Vehicle Infos'!$L$21</f>
        <v>11.454461999999998</v>
      </c>
      <c r="S86" s="23"/>
      <c r="T86" s="23"/>
      <c r="U86" s="96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</row>
    <row r="87" spans="1:36" ht="15.75" customHeight="1" x14ac:dyDescent="0.35">
      <c r="A87" s="23"/>
      <c r="B87" s="23"/>
      <c r="C87" s="104" t="s">
        <v>167</v>
      </c>
      <c r="D87" s="105">
        <v>14</v>
      </c>
      <c r="E87" s="105">
        <v>2</v>
      </c>
      <c r="F87" s="106" t="s">
        <v>259</v>
      </c>
      <c r="G87" s="107">
        <v>5</v>
      </c>
      <c r="H87" s="181"/>
      <c r="I87" s="104">
        <f>$D$10*E87*'Vehicle Infos'!$L$10</f>
        <v>14.935618666666667</v>
      </c>
      <c r="J87" s="23"/>
      <c r="K87" s="23"/>
      <c r="L87" s="54" t="s">
        <v>162</v>
      </c>
      <c r="M87" s="49"/>
      <c r="N87" s="45">
        <f>SUM(N80:N86)</f>
        <v>18.5</v>
      </c>
      <c r="O87" s="58"/>
      <c r="P87" s="110">
        <f>SUM(P81:P86)</f>
        <v>32</v>
      </c>
      <c r="Q87" s="109"/>
      <c r="R87" s="108">
        <f>$F$10*N87*'Vehicle Infos'!$L$21</f>
        <v>70.635848999999993</v>
      </c>
      <c r="S87" s="23"/>
      <c r="T87" s="23"/>
      <c r="U87" s="96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spans="1:36" ht="15.75" customHeight="1" x14ac:dyDescent="0.3">
      <c r="A88" s="23"/>
      <c r="B88" s="23"/>
      <c r="C88" s="104" t="s">
        <v>169</v>
      </c>
      <c r="D88" s="105">
        <v>14.5</v>
      </c>
      <c r="E88" s="105">
        <v>0.5</v>
      </c>
      <c r="F88" s="106" t="s">
        <v>551</v>
      </c>
      <c r="G88" s="107">
        <v>1</v>
      </c>
      <c r="H88" s="181"/>
      <c r="I88" s="104">
        <f>$D$10*E88*'Vehicle Infos'!$L$10</f>
        <v>3.7339046666666666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96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spans="1:36" ht="15.75" customHeight="1" x14ac:dyDescent="0.3">
      <c r="A89" s="23"/>
      <c r="B89" s="23"/>
      <c r="C89" s="104" t="s">
        <v>171</v>
      </c>
      <c r="D89" s="105">
        <v>15</v>
      </c>
      <c r="E89" s="105">
        <v>0.5</v>
      </c>
      <c r="F89" s="106" t="s">
        <v>397</v>
      </c>
      <c r="G89" s="107">
        <v>2</v>
      </c>
      <c r="H89" s="193"/>
      <c r="I89" s="104">
        <f>$D$10*E89*'Vehicle Infos'!$L$10</f>
        <v>3.7339046666666666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96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ht="15.75" customHeight="1" x14ac:dyDescent="0.3">
      <c r="A90" s="23"/>
      <c r="B90" s="23"/>
      <c r="C90" s="70" t="s">
        <v>162</v>
      </c>
      <c r="D90" s="108"/>
      <c r="E90" s="105">
        <v>15</v>
      </c>
      <c r="F90" s="111"/>
      <c r="G90" s="110">
        <f>SUM(G81:G89)</f>
        <v>33</v>
      </c>
      <c r="H90" s="107"/>
      <c r="I90" s="104">
        <f>$D$10*E90*'Vehicle Infos'!$L$10</f>
        <v>112.01714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96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spans="1:36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96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96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96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96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96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96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1:36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96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spans="1:36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96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spans="1:36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96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spans="1:36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96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spans="1:36" ht="15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96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spans="1:36" ht="15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96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spans="1:36" ht="15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96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spans="1:36" ht="15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96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spans="1:36" ht="15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96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spans="1:36" ht="15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96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spans="1:36" ht="15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96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spans="1:36" ht="15.7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96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spans="1:36" ht="15.7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96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spans="1:36" ht="15.7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96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spans="1:36" ht="15.7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96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</row>
    <row r="112" spans="1:36" ht="15.7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96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</row>
    <row r="113" spans="1:36" ht="15.7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96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</row>
    <row r="114" spans="1:36" ht="15.7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96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</row>
    <row r="115" spans="1:36" ht="15.7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96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spans="1:36" ht="15.7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96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</row>
    <row r="117" spans="1:36" ht="15.7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96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</row>
    <row r="118" spans="1:36" ht="15.7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96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</row>
    <row r="119" spans="1:36" ht="15.7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96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</row>
    <row r="120" spans="1:36" ht="15.7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96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</row>
    <row r="121" spans="1:36" ht="15.7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96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</row>
    <row r="122" spans="1:36" ht="15.7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96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</row>
    <row r="123" spans="1:36" ht="15.7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96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</row>
    <row r="124" spans="1:36" ht="15.7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96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</row>
    <row r="125" spans="1:36" ht="15.7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96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</row>
    <row r="126" spans="1:36" ht="15.7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96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</row>
    <row r="127" spans="1:36" ht="15.7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96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</row>
    <row r="128" spans="1:36" ht="15.7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96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</row>
    <row r="129" spans="1:36" ht="15.7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96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</row>
    <row r="130" spans="1:36" ht="15.7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96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</row>
    <row r="131" spans="1:36" ht="15.7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96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</row>
    <row r="132" spans="1:36" ht="15.7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96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</row>
    <row r="133" spans="1:36" ht="15.7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96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</row>
    <row r="134" spans="1:36" ht="15.7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96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</row>
    <row r="135" spans="1:36" ht="15.7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96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</row>
    <row r="136" spans="1:36" ht="15.7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96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</row>
    <row r="137" spans="1:36" ht="15.7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96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</row>
    <row r="138" spans="1:36" ht="15.7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96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</row>
    <row r="139" spans="1:36" ht="15.7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96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</row>
    <row r="140" spans="1:36" ht="15.7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96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</row>
    <row r="141" spans="1:36" ht="15.7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96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  <row r="142" spans="1:36" ht="15.7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96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</row>
    <row r="143" spans="1:36" ht="15.7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96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</row>
    <row r="144" spans="1:36" ht="15.7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96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</row>
    <row r="145" spans="1:36" ht="15.7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96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</row>
    <row r="146" spans="1:36" ht="15.7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96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</row>
    <row r="147" spans="1:36" ht="15.7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96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</row>
    <row r="148" spans="1:36" ht="15.7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96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</row>
    <row r="149" spans="1:36" ht="15.7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96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</row>
    <row r="150" spans="1:36" ht="15.7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96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</row>
    <row r="151" spans="1:36" ht="15.7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96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</row>
    <row r="152" spans="1:36" ht="15.7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96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</row>
    <row r="153" spans="1:36" ht="15.7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96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</row>
    <row r="154" spans="1:36" ht="15.7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96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</row>
    <row r="155" spans="1:36" ht="15.7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96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</row>
    <row r="156" spans="1:36" ht="15.7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96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</row>
    <row r="157" spans="1:36" ht="15.7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96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</row>
    <row r="158" spans="1:36" ht="15.7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96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</row>
    <row r="159" spans="1:36" ht="15.7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96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</row>
    <row r="160" spans="1:36" ht="15.7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96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</row>
    <row r="161" spans="1:36" ht="15.7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96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</row>
    <row r="162" spans="1:36" ht="15.7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96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</row>
    <row r="163" spans="1:36" ht="15.7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96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</row>
    <row r="164" spans="1:36" ht="15.7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96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</row>
    <row r="165" spans="1:36" ht="15.7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96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</row>
    <row r="166" spans="1:36" ht="15.7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9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</row>
    <row r="167" spans="1:36" ht="15.7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9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</row>
    <row r="168" spans="1:36" ht="15.7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9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</row>
    <row r="169" spans="1:36" ht="15.7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96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</row>
    <row r="170" spans="1:36" ht="15.7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9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</row>
    <row r="171" spans="1:36" ht="15.7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96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</row>
    <row r="172" spans="1:36" ht="15.7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96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</row>
    <row r="173" spans="1:36" ht="15.7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96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</row>
    <row r="174" spans="1:36" ht="15.7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96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</row>
    <row r="175" spans="1:36" ht="15.7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96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</row>
    <row r="176" spans="1:36" ht="15.7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96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</row>
    <row r="177" spans="1:36" ht="15.7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96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</row>
    <row r="178" spans="1:36" ht="15.7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96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</row>
    <row r="179" spans="1:36" ht="15.7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96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</row>
    <row r="180" spans="1:36" ht="15.7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96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</row>
    <row r="181" spans="1:36" ht="15.7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96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</row>
    <row r="182" spans="1:36" ht="15.7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96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</row>
    <row r="183" spans="1:36" ht="15.7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96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</row>
    <row r="184" spans="1:36" ht="15.7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96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</row>
    <row r="185" spans="1:36" ht="15.7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96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</row>
    <row r="186" spans="1:36" ht="15.7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96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</row>
    <row r="187" spans="1:36" ht="15.7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96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</row>
    <row r="188" spans="1:36" ht="15.7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96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</row>
    <row r="189" spans="1:36" ht="15.7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96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</row>
    <row r="190" spans="1:36" ht="15.7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96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</row>
    <row r="191" spans="1:36" ht="15.7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96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</row>
    <row r="192" spans="1:36" ht="15.7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96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</row>
    <row r="193" spans="1:36" ht="15.7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96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</row>
    <row r="194" spans="1:36" ht="15.7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96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</row>
    <row r="195" spans="1:36" ht="15.7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96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</row>
    <row r="196" spans="1:36" ht="15.7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96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</row>
    <row r="197" spans="1:36" ht="15.7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96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</row>
    <row r="198" spans="1:36" ht="15.7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96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spans="1:36" ht="15.7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96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spans="1:36" ht="15.7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96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spans="1:36" ht="15.7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96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ht="15.7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96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spans="1:36" ht="15.7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96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spans="1:36" ht="15.7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96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ht="15.7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96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spans="1:36" ht="15.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96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spans="1:36" ht="15.7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96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ht="15.7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96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spans="1:36" ht="15.7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96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spans="1:36" ht="15.7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96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ht="15.7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96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spans="1:36" ht="15.7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96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spans="1:36" ht="15.7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96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ht="15.7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96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spans="1:36" ht="15.7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96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spans="1:36" ht="15.7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96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ht="15.7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96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spans="1:36" ht="15.7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96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spans="1:36" ht="15.7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96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ht="15.7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96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spans="1:36" ht="15.7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96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spans="1:36" ht="15.7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96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ht="15.7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96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spans="1:36" ht="15.7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96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</row>
    <row r="225" spans="1:36" ht="15.7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96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spans="1:36" ht="15.7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96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</row>
    <row r="227" spans="1:36" ht="15.7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96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</row>
    <row r="228" spans="1:36" ht="15.7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96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spans="1:36" ht="15.7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96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</row>
    <row r="230" spans="1:36" ht="15.7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96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1" spans="1:36" ht="15.7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96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spans="1:36" ht="15.7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96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</row>
    <row r="233" spans="1:36" ht="15.7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96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</row>
    <row r="234" spans="1:36" ht="15.7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96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spans="1:36" ht="15.7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96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</row>
    <row r="236" spans="1:36" ht="15.7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9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</row>
    <row r="237" spans="1:36" ht="15.7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96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spans="1:36" ht="15.7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96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</row>
    <row r="239" spans="1:36" ht="15.7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96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</row>
    <row r="240" spans="1:36" ht="15.7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96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spans="1:36" ht="15.7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96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</row>
    <row r="242" spans="1:36" ht="15.7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96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</row>
    <row r="243" spans="1:36" ht="15.7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96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</row>
    <row r="244" spans="1:36" ht="15.7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96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</row>
    <row r="245" spans="1:36" ht="15.7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96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</row>
    <row r="246" spans="1:36" ht="15.7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96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</row>
    <row r="247" spans="1:36" ht="15.7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96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</row>
    <row r="248" spans="1:36" ht="15.7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96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</row>
    <row r="249" spans="1:36" ht="15.7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96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</row>
    <row r="250" spans="1:36" ht="15.7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96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</row>
    <row r="251" spans="1:36" ht="15.7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96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</row>
    <row r="252" spans="1:36" ht="15.7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96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</row>
    <row r="253" spans="1:36" ht="15.7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96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</row>
    <row r="254" spans="1:36" ht="15.7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96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</row>
    <row r="255" spans="1:36" ht="15.7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96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</row>
    <row r="256" spans="1:36" ht="15.7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96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</row>
    <row r="257" spans="1:36" ht="15.7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96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</row>
    <row r="258" spans="1:36" ht="15.7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96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</row>
    <row r="259" spans="1:36" ht="15.7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96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</row>
    <row r="260" spans="1:36" ht="15.7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96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</row>
    <row r="261" spans="1:36" ht="15.7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96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</row>
    <row r="262" spans="1:36" ht="15.7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96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</row>
    <row r="263" spans="1:36" ht="15.7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96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</row>
    <row r="264" spans="1:36" ht="15.7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96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</row>
    <row r="265" spans="1:36" ht="15.7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96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</row>
    <row r="266" spans="1:36" ht="15.7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96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</row>
    <row r="267" spans="1:36" ht="15.7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96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8" spans="1:36" ht="15.7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96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</row>
    <row r="269" spans="1:36" ht="15.7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96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</row>
    <row r="270" spans="1:36" ht="15.7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96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</row>
    <row r="271" spans="1:36" ht="15.7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96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</row>
    <row r="272" spans="1:36" ht="15.7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96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</row>
    <row r="273" spans="1:36" ht="15.7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96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</row>
    <row r="274" spans="1:36" ht="15.7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96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</row>
    <row r="275" spans="1:36" ht="15.7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96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</row>
    <row r="276" spans="1:36" ht="15.7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96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</row>
    <row r="277" spans="1:36" ht="15.7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96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</row>
    <row r="278" spans="1:36" ht="15.7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96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</row>
    <row r="279" spans="1:36" ht="15.7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96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</row>
    <row r="280" spans="1:36" ht="15.7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96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</row>
    <row r="281" spans="1:36" ht="15.7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96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</row>
    <row r="282" spans="1:36" ht="15.7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96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</row>
    <row r="283" spans="1:36" ht="15.7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96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</row>
    <row r="284" spans="1:36" ht="15.7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96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</row>
    <row r="285" spans="1:36" ht="15.7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96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</row>
    <row r="286" spans="1:36" ht="15.7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96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</row>
    <row r="287" spans="1:36" ht="15.7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96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</row>
    <row r="288" spans="1:36" ht="15.7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96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</row>
    <row r="289" spans="1:36" ht="15.7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96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</row>
    <row r="290" spans="1:36" ht="15.7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96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</row>
    <row r="291" spans="1:36" ht="15.7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96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</row>
    <row r="292" spans="1:36" ht="15.7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96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</row>
    <row r="293" spans="1:36" ht="15.7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96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</row>
    <row r="294" spans="1:36" ht="15.7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96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</row>
    <row r="295" spans="1:36" ht="15.7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96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</row>
    <row r="296" spans="1:36" ht="15.7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96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</row>
    <row r="297" spans="1:36" ht="15.7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96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</row>
    <row r="298" spans="1:36" ht="15.7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96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</row>
    <row r="299" spans="1:36" ht="15.7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96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</row>
    <row r="300" spans="1:36" ht="15.7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96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</row>
    <row r="301" spans="1:36" ht="15.7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96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</row>
    <row r="302" spans="1:36" ht="15.7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96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</row>
    <row r="303" spans="1:36" ht="15.7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96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</row>
    <row r="304" spans="1:36" ht="15.7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96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</row>
    <row r="305" spans="1:36" ht="15.7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96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</row>
    <row r="306" spans="1:36" ht="15.7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96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</row>
    <row r="307" spans="1:36" ht="15.7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96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</row>
    <row r="308" spans="1:36" ht="15.7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96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</row>
    <row r="309" spans="1:36" ht="15.7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96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</row>
    <row r="310" spans="1:36" ht="15.7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96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</row>
    <row r="311" spans="1:36" ht="15.7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96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</row>
    <row r="312" spans="1:36" ht="15.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96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</row>
    <row r="313" spans="1:36" ht="15.7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96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</row>
    <row r="314" spans="1:36" ht="15.7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96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</row>
    <row r="315" spans="1:36" ht="15.7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96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</row>
    <row r="316" spans="1:36" ht="15.7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96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</row>
    <row r="317" spans="1:36" ht="15.7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96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</row>
    <row r="318" spans="1:36" ht="15.7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96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</row>
    <row r="319" spans="1:36" ht="15.7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96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</row>
    <row r="320" spans="1:36" ht="15.7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96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</row>
    <row r="321" spans="1:36" ht="15.7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96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</row>
    <row r="322" spans="1:36" ht="15.7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96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</row>
    <row r="323" spans="1:36" ht="15.7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96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</row>
    <row r="324" spans="1:36" ht="15.7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96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</row>
    <row r="325" spans="1:36" ht="15.7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96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</row>
    <row r="326" spans="1:36" ht="15.7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96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</row>
    <row r="327" spans="1:36" ht="15.7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96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</row>
    <row r="328" spans="1:36" ht="15.7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96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</row>
    <row r="329" spans="1:36" ht="15.7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96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</row>
    <row r="330" spans="1:36" ht="15.7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96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spans="1:36" ht="15.7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96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</row>
    <row r="332" spans="1:36" ht="15.7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96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</row>
    <row r="333" spans="1:36" ht="15.7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96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spans="1:36" ht="15.7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96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</row>
    <row r="335" spans="1:36" ht="15.7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96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</row>
    <row r="336" spans="1:36" ht="15.7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96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spans="1:36" ht="15.7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96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</row>
    <row r="338" spans="1:36" ht="15.7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96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</row>
    <row r="339" spans="1:36" ht="15.7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96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</row>
    <row r="340" spans="1:36" ht="15.7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96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</row>
    <row r="341" spans="1:36" ht="15.7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96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</row>
    <row r="342" spans="1:36" ht="15.7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96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</row>
    <row r="343" spans="1:36" ht="15.7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96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</row>
    <row r="344" spans="1:36" ht="15.7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96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</row>
    <row r="345" spans="1:36" ht="15.7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96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</row>
    <row r="346" spans="1:36" ht="15.7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96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</row>
    <row r="347" spans="1:36" ht="15.7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96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</row>
    <row r="348" spans="1:36" ht="15.7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96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</row>
    <row r="349" spans="1:36" ht="15.7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96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</row>
    <row r="350" spans="1:36" ht="15.7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96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</row>
    <row r="351" spans="1:36" ht="15.7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96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</row>
    <row r="352" spans="1:36" ht="15.7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96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</row>
    <row r="353" spans="1:36" ht="15.7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96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</row>
    <row r="354" spans="1:36" ht="15.7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96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</row>
    <row r="355" spans="1:36" ht="15.7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96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</row>
    <row r="356" spans="1:36" ht="15.7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96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</row>
    <row r="357" spans="1:36" ht="15.7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96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</row>
    <row r="358" spans="1:36" ht="15.7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96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</row>
    <row r="359" spans="1:36" ht="15.7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96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</row>
    <row r="360" spans="1:36" ht="15.7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96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</row>
    <row r="361" spans="1:36" ht="15.7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96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</row>
    <row r="362" spans="1:36" ht="15.7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96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</row>
    <row r="363" spans="1:36" ht="15.7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96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</row>
    <row r="364" spans="1:36" ht="15.7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96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</row>
    <row r="365" spans="1:36" ht="15.7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96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</row>
    <row r="366" spans="1:36" ht="15.7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96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</row>
    <row r="367" spans="1:36" ht="15.7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96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</row>
    <row r="368" spans="1:36" ht="15.7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96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</row>
    <row r="369" spans="1:36" ht="15.7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96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</row>
    <row r="370" spans="1:36" ht="15.7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96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</row>
    <row r="371" spans="1:36" ht="15.7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96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</row>
    <row r="372" spans="1:36" ht="15.7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96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</row>
    <row r="373" spans="1:36" ht="15.7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96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</row>
    <row r="374" spans="1:36" ht="15.7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96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</row>
    <row r="375" spans="1:36" ht="15.7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96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</row>
    <row r="376" spans="1:36" ht="15.7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96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</row>
    <row r="377" spans="1:36" ht="15.7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96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</row>
    <row r="378" spans="1:36" ht="15.7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96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</row>
    <row r="379" spans="1:36" ht="15.7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96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</row>
    <row r="380" spans="1:36" ht="15.7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96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</row>
    <row r="381" spans="1:36" ht="15.7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96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</row>
    <row r="382" spans="1:36" ht="15.7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96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</row>
    <row r="383" spans="1:36" ht="15.7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96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</row>
    <row r="384" spans="1:36" ht="15.7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96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</row>
    <row r="385" spans="1:36" ht="15.7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96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</row>
    <row r="386" spans="1:36" ht="15.7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96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</row>
    <row r="387" spans="1:36" ht="15.7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96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</row>
    <row r="388" spans="1:36" ht="15.7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96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</row>
    <row r="389" spans="1:36" ht="15.7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96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</row>
    <row r="390" spans="1:36" ht="15.7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96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</row>
    <row r="391" spans="1:36" ht="15.7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96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</row>
    <row r="392" spans="1:36" ht="15.7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96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</row>
    <row r="393" spans="1:36" ht="15.7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96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</row>
    <row r="394" spans="1:36" ht="15.7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96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</row>
    <row r="395" spans="1:36" ht="15.7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96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</row>
    <row r="396" spans="1:36" ht="15.7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96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</row>
    <row r="397" spans="1:36" ht="15.7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96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</row>
    <row r="398" spans="1:36" ht="15.7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96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</row>
    <row r="399" spans="1:36" ht="15.7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96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</row>
    <row r="400" spans="1:36" ht="15.7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96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</row>
    <row r="401" spans="1:36" ht="15.7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96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</row>
    <row r="402" spans="1:36" ht="15.7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96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</row>
    <row r="403" spans="1:36" ht="15.7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96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</row>
    <row r="404" spans="1:36" ht="15.7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96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</row>
    <row r="405" spans="1:36" ht="15.7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96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</row>
    <row r="406" spans="1:36" ht="15.7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96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</row>
    <row r="407" spans="1:36" ht="15.7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96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</row>
    <row r="408" spans="1:36" ht="15.7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96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</row>
    <row r="409" spans="1:36" ht="15.7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96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</row>
    <row r="410" spans="1:36" ht="15.7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96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</row>
    <row r="411" spans="1:36" ht="15.7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96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</row>
    <row r="412" spans="1:36" ht="15.7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96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</row>
    <row r="413" spans="1:36" ht="15.7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96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</row>
    <row r="414" spans="1:36" ht="15.7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96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</row>
    <row r="415" spans="1:36" ht="15.7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96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</row>
    <row r="416" spans="1:36" ht="15.7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96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</row>
    <row r="417" spans="1:36" ht="15.7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96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</row>
    <row r="418" spans="1:36" ht="15.7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96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</row>
    <row r="419" spans="1:36" ht="15.7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96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</row>
    <row r="420" spans="1:36" ht="15.7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96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</row>
    <row r="421" spans="1:36" ht="15.7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96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</row>
    <row r="422" spans="1:36" ht="15.7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96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</row>
    <row r="423" spans="1:36" ht="15.7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96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</row>
    <row r="424" spans="1:36" ht="15.7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96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</row>
    <row r="425" spans="1:36" ht="15.7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96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</row>
    <row r="426" spans="1:36" ht="15.7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96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</row>
    <row r="427" spans="1:36" ht="15.7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96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</row>
    <row r="428" spans="1:36" ht="15.7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96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</row>
    <row r="429" spans="1:36" ht="15.7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96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</row>
    <row r="430" spans="1:36" ht="15.7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96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</row>
    <row r="431" spans="1:36" ht="15.7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96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</row>
    <row r="432" spans="1:36" ht="15.7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96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</row>
    <row r="433" spans="1:36" ht="15.7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96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</row>
    <row r="434" spans="1:36" ht="15.7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96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</row>
    <row r="435" spans="1:36" ht="15.7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96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</row>
    <row r="436" spans="1:36" ht="15.7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96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</row>
    <row r="437" spans="1:36" ht="15.7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96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</row>
    <row r="438" spans="1:36" ht="15.7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96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</row>
    <row r="439" spans="1:36" ht="15.7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96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</row>
    <row r="440" spans="1:36" ht="15.7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96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</row>
    <row r="441" spans="1:36" ht="15.7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96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</row>
    <row r="442" spans="1:36" ht="15.7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96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</row>
    <row r="443" spans="1:36" ht="15.7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96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</row>
    <row r="444" spans="1:36" ht="15.7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96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</row>
    <row r="445" spans="1:36" ht="15.7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96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</row>
    <row r="446" spans="1:36" ht="15.7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96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</row>
    <row r="447" spans="1:36" ht="15.7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96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</row>
    <row r="448" spans="1:36" ht="15.7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96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</row>
    <row r="449" spans="1:36" ht="15.7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96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</row>
    <row r="450" spans="1:36" ht="15.7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96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</row>
    <row r="451" spans="1:36" ht="15.7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96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</row>
    <row r="452" spans="1:36" ht="15.7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96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</row>
    <row r="453" spans="1:36" ht="15.7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96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</row>
    <row r="454" spans="1:36" ht="15.7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96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</row>
    <row r="455" spans="1:36" ht="15.7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96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</row>
    <row r="456" spans="1:36" ht="15.7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96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</row>
    <row r="457" spans="1:36" ht="15.7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96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</row>
    <row r="458" spans="1:36" ht="15.7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96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</row>
    <row r="459" spans="1:36" ht="15.7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96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</row>
    <row r="460" spans="1:36" ht="15.7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96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</row>
    <row r="461" spans="1:36" ht="15.7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96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</row>
    <row r="462" spans="1:36" ht="15.7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96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</row>
    <row r="463" spans="1:36" ht="15.7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96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</row>
    <row r="464" spans="1:36" ht="15.7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96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</row>
    <row r="465" spans="1:36" ht="15.7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96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</row>
    <row r="466" spans="1:36" ht="15.7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96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</row>
    <row r="467" spans="1:36" ht="15.7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96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</row>
    <row r="468" spans="1:36" ht="15.7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96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</row>
    <row r="469" spans="1:36" ht="15.7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96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</row>
    <row r="470" spans="1:36" ht="15.7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96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</row>
    <row r="471" spans="1:36" ht="15.7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96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</row>
    <row r="472" spans="1:36" ht="15.7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96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</row>
    <row r="473" spans="1:36" ht="15.7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96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</row>
    <row r="474" spans="1:36" ht="15.7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96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</row>
    <row r="475" spans="1:36" ht="15.7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96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</row>
    <row r="476" spans="1:36" ht="15.7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96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</row>
    <row r="477" spans="1:36" ht="15.7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96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</row>
    <row r="478" spans="1:36" ht="15.7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96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</row>
    <row r="479" spans="1:36" ht="15.7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96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</row>
    <row r="480" spans="1:36" ht="15.7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96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</row>
    <row r="481" spans="1:36" ht="15.7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96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</row>
    <row r="482" spans="1:36" ht="15.7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96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</row>
    <row r="483" spans="1:36" ht="15.7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96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</row>
    <row r="484" spans="1:36" ht="15.7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96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</row>
    <row r="485" spans="1:36" ht="15.7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96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</row>
    <row r="486" spans="1:36" ht="15.7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96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</row>
    <row r="487" spans="1:36" ht="15.7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96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</row>
    <row r="488" spans="1:36" ht="15.7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96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</row>
    <row r="489" spans="1:36" ht="15.7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96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</row>
    <row r="490" spans="1:36" ht="15.7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96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</row>
    <row r="491" spans="1:36" ht="15.7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96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</row>
    <row r="492" spans="1:36" ht="15.7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96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</row>
    <row r="493" spans="1:36" ht="15.7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96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</row>
    <row r="494" spans="1:36" ht="15.7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96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</row>
    <row r="495" spans="1:36" ht="15.7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96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</row>
    <row r="496" spans="1:36" ht="15.7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96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</row>
    <row r="497" spans="1:36" ht="15.7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96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</row>
    <row r="498" spans="1:36" ht="15.7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96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</row>
    <row r="499" spans="1:36" ht="15.7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96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</row>
    <row r="500" spans="1:36" ht="15.7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96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</row>
    <row r="501" spans="1:36" ht="15.7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96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</row>
    <row r="502" spans="1:36" ht="15.7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96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</row>
    <row r="503" spans="1:36" ht="15.7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96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</row>
    <row r="504" spans="1:36" ht="15.7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96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</row>
    <row r="505" spans="1:36" ht="15.7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96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</row>
    <row r="506" spans="1:36" ht="15.7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96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</row>
    <row r="507" spans="1:36" ht="15.7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96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</row>
    <row r="508" spans="1:36" ht="15.7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96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</row>
    <row r="509" spans="1:36" ht="15.7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96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</row>
    <row r="510" spans="1:36" ht="15.7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96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</row>
    <row r="511" spans="1:36" ht="15.7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96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</row>
    <row r="512" spans="1:36" ht="15.7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96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</row>
    <row r="513" spans="1:36" ht="15.7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96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</row>
    <row r="514" spans="1:36" ht="15.7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96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</row>
    <row r="515" spans="1:36" ht="15.7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96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</row>
    <row r="516" spans="1:36" ht="15.7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96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</row>
    <row r="517" spans="1:36" ht="15.7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96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</row>
    <row r="518" spans="1:36" ht="15.7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96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</row>
    <row r="519" spans="1:36" ht="15.7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96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</row>
    <row r="520" spans="1:36" ht="15.7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96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</row>
    <row r="521" spans="1:36" ht="15.7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96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</row>
    <row r="522" spans="1:36" ht="15.7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96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</row>
    <row r="523" spans="1:36" ht="15.7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96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</row>
    <row r="524" spans="1:36" ht="15.7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96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</row>
    <row r="525" spans="1:36" ht="15.7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96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</row>
    <row r="526" spans="1:36" ht="15.7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96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</row>
    <row r="527" spans="1:36" ht="15.7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96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</row>
    <row r="528" spans="1:36" ht="15.7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96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</row>
    <row r="529" spans="1:36" ht="15.7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96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</row>
    <row r="530" spans="1:36" ht="15.7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96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</row>
    <row r="531" spans="1:36" ht="15.7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96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</row>
    <row r="532" spans="1:36" ht="15.7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96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</row>
    <row r="533" spans="1:36" ht="15.7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96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</row>
    <row r="534" spans="1:36" ht="15.7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96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</row>
    <row r="535" spans="1:36" ht="15.7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96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</row>
    <row r="536" spans="1:36" ht="15.7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96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</row>
    <row r="537" spans="1:36" ht="15.7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96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</row>
    <row r="538" spans="1:36" ht="15.7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96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</row>
    <row r="539" spans="1:36" ht="15.7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96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</row>
    <row r="540" spans="1:36" ht="15.7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96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</row>
    <row r="541" spans="1:36" ht="15.7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96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</row>
    <row r="542" spans="1:36" ht="15.7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96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</row>
    <row r="543" spans="1:36" ht="15.7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96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</row>
    <row r="544" spans="1:36" ht="15.7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96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</row>
    <row r="545" spans="1:36" ht="15.7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96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</row>
    <row r="546" spans="1:36" ht="15.7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96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</row>
    <row r="547" spans="1:36" ht="15.7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96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</row>
    <row r="548" spans="1:36" ht="15.7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96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</row>
    <row r="549" spans="1:36" ht="15.7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96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</row>
    <row r="550" spans="1:36" ht="15.7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96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</row>
    <row r="551" spans="1:36" ht="15.7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96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</row>
    <row r="552" spans="1:36" ht="15.7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96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</row>
    <row r="553" spans="1:36" ht="15.7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96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</row>
    <row r="554" spans="1:36" ht="15.7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96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</row>
    <row r="555" spans="1:36" ht="15.7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96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</row>
    <row r="556" spans="1:36" ht="15.7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96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</row>
    <row r="557" spans="1:36" ht="15.7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96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</row>
    <row r="558" spans="1:36" ht="15.7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96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</row>
    <row r="559" spans="1:36" ht="15.7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96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</row>
    <row r="560" spans="1:36" ht="15.7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96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</row>
    <row r="561" spans="1:36" ht="15.7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96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</row>
    <row r="562" spans="1:36" ht="15.7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96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</row>
    <row r="563" spans="1:36" ht="15.7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96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</row>
    <row r="564" spans="1:36" ht="15.7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96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</row>
    <row r="565" spans="1:36" ht="15.7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96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</row>
    <row r="566" spans="1:36" ht="15.7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96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</row>
    <row r="567" spans="1:36" ht="15.7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96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</row>
    <row r="568" spans="1:36" ht="15.7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96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</row>
    <row r="569" spans="1:36" ht="15.7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96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</row>
    <row r="570" spans="1:36" ht="15.7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96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</row>
    <row r="571" spans="1:36" ht="15.7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96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</row>
    <row r="572" spans="1:36" ht="15.7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96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</row>
    <row r="573" spans="1:36" ht="15.7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96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</row>
    <row r="574" spans="1:36" ht="15.7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96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</row>
    <row r="575" spans="1:36" ht="15.7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96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</row>
    <row r="576" spans="1:36" ht="15.7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96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</row>
    <row r="577" spans="1:36" ht="15.7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96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</row>
    <row r="578" spans="1:36" ht="15.7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96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</row>
    <row r="579" spans="1:36" ht="15.7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96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</row>
    <row r="580" spans="1:36" ht="15.7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96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</row>
    <row r="581" spans="1:36" ht="15.7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96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</row>
    <row r="582" spans="1:36" ht="15.7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96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</row>
    <row r="583" spans="1:36" ht="15.7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96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</row>
    <row r="584" spans="1:36" ht="15.7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96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</row>
    <row r="585" spans="1:36" ht="15.7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96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</row>
    <row r="586" spans="1:36" ht="15.7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96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</row>
    <row r="587" spans="1:36" ht="15.7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96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</row>
    <row r="588" spans="1:36" ht="15.7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96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</row>
    <row r="589" spans="1:36" ht="15.7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96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</row>
    <row r="590" spans="1:36" ht="15.7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96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</row>
    <row r="591" spans="1:36" ht="15.7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96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</row>
    <row r="592" spans="1:36" ht="15.7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96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</row>
    <row r="593" spans="1:36" ht="15.7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96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</row>
    <row r="594" spans="1:36" ht="15.7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96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</row>
    <row r="595" spans="1:36" ht="15.7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96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</row>
    <row r="596" spans="1:36" ht="15.7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96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</row>
    <row r="597" spans="1:36" ht="15.7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96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</row>
    <row r="598" spans="1:36" ht="15.7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96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</row>
    <row r="599" spans="1:36" ht="15.7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96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</row>
    <row r="600" spans="1:36" ht="15.7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96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</row>
    <row r="601" spans="1:36" ht="15.7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96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</row>
    <row r="602" spans="1:36" ht="15.7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96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</row>
    <row r="603" spans="1:36" ht="15.7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96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</row>
    <row r="604" spans="1:36" ht="15.7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96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</row>
    <row r="605" spans="1:36" ht="15.7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96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</row>
    <row r="606" spans="1:36" ht="15.7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96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</row>
    <row r="607" spans="1:36" ht="15.7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96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</row>
    <row r="608" spans="1:36" ht="15.7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96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</row>
    <row r="609" spans="1:36" ht="15.7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96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</row>
    <row r="610" spans="1:36" ht="15.7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96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</row>
    <row r="611" spans="1:36" ht="15.7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96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</row>
    <row r="612" spans="1:36" ht="15.7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96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</row>
    <row r="613" spans="1:36" ht="15.7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96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</row>
    <row r="614" spans="1:36" ht="15.7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96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</row>
    <row r="615" spans="1:36" ht="15.7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96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</row>
    <row r="616" spans="1:36" ht="15.7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96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</row>
    <row r="617" spans="1:36" ht="15.7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96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</row>
    <row r="618" spans="1:36" ht="15.7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96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</row>
    <row r="619" spans="1:36" ht="15.7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96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</row>
    <row r="620" spans="1:36" ht="15.7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96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</row>
    <row r="621" spans="1:36" ht="15.7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96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</row>
    <row r="622" spans="1:36" ht="15.7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96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</row>
    <row r="623" spans="1:36" ht="15.7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96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</row>
    <row r="624" spans="1:36" ht="15.7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96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</row>
    <row r="625" spans="1:36" ht="15.7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96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</row>
    <row r="626" spans="1:36" ht="15.7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96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</row>
    <row r="627" spans="1:36" ht="15.7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96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</row>
    <row r="628" spans="1:36" ht="15.7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96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</row>
    <row r="629" spans="1:36" ht="15.7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96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</row>
    <row r="630" spans="1:36" ht="15.7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96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</row>
    <row r="631" spans="1:36" ht="15.7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96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</row>
    <row r="632" spans="1:36" ht="15.7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96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</row>
    <row r="633" spans="1:36" ht="15.7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96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</row>
    <row r="634" spans="1:36" ht="15.7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96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</row>
    <row r="635" spans="1:36" ht="15.7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96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</row>
    <row r="636" spans="1:36" ht="15.7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96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</row>
    <row r="637" spans="1:36" ht="15.7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96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</row>
    <row r="638" spans="1:36" ht="15.7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96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</row>
    <row r="639" spans="1:36" ht="15.7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96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</row>
    <row r="640" spans="1:36" ht="15.7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96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</row>
    <row r="641" spans="1:36" ht="15.7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96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</row>
    <row r="642" spans="1:36" ht="15.7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96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</row>
    <row r="643" spans="1:36" ht="15.7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96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</row>
    <row r="644" spans="1:36" ht="15.7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96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</row>
    <row r="645" spans="1:36" ht="15.7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96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</row>
    <row r="646" spans="1:36" ht="15.7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96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</row>
    <row r="647" spans="1:36" ht="15.7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96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</row>
    <row r="648" spans="1:36" ht="15.7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96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</row>
    <row r="649" spans="1:36" ht="15.7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96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</row>
    <row r="650" spans="1:36" ht="15.7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96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</row>
    <row r="651" spans="1:36" ht="15.7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96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</row>
    <row r="652" spans="1:36" ht="15.7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96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</row>
    <row r="653" spans="1:36" ht="15.7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96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</row>
    <row r="654" spans="1:36" ht="15.7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96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</row>
    <row r="655" spans="1:36" ht="15.7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96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</row>
    <row r="656" spans="1:36" ht="15.7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96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</row>
    <row r="657" spans="1:36" ht="15.7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96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</row>
    <row r="658" spans="1:36" ht="15.7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96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</row>
    <row r="659" spans="1:36" ht="15.7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96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</row>
    <row r="660" spans="1:36" ht="15.7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96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</row>
    <row r="661" spans="1:36" ht="15.7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96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</row>
    <row r="662" spans="1:36" ht="15.7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96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</row>
    <row r="663" spans="1:36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96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</row>
    <row r="664" spans="1:36" ht="15.7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96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</row>
    <row r="665" spans="1:36" ht="15.7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96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</row>
    <row r="666" spans="1:36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96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</row>
    <row r="667" spans="1:36" ht="15.7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96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</row>
    <row r="668" spans="1:36" ht="15.7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96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</row>
    <row r="669" spans="1:36" ht="15.7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96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</row>
    <row r="670" spans="1:36" ht="15.7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96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</row>
    <row r="671" spans="1:36" ht="15.7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96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</row>
    <row r="672" spans="1:36" ht="15.7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96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</row>
    <row r="673" spans="1:36" ht="15.7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96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</row>
    <row r="674" spans="1:36" ht="15.7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96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</row>
    <row r="675" spans="1:36" ht="15.7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96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</row>
    <row r="676" spans="1:36" ht="15.7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96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</row>
    <row r="677" spans="1:36" ht="15.7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96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</row>
    <row r="678" spans="1:36" ht="15.7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96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</row>
    <row r="679" spans="1:36" ht="15.7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96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</row>
    <row r="680" spans="1:36" ht="15.7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96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</row>
    <row r="681" spans="1:36" ht="15.7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96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</row>
    <row r="682" spans="1:36" ht="15.7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96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</row>
    <row r="683" spans="1:36" ht="15.7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96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</row>
    <row r="684" spans="1:36" ht="15.7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96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</row>
    <row r="685" spans="1:36" ht="15.7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96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</row>
    <row r="686" spans="1:36" ht="15.7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96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</row>
    <row r="687" spans="1:36" ht="15.7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96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</row>
    <row r="688" spans="1:36" ht="15.7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96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</row>
    <row r="689" spans="1:36" ht="15.7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96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</row>
    <row r="690" spans="1:36" ht="15.7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96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</row>
    <row r="691" spans="1:36" ht="15.7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96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</row>
    <row r="692" spans="1:36" ht="15.7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96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</row>
    <row r="693" spans="1:36" ht="15.7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96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</row>
    <row r="694" spans="1:36" ht="15.7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96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</row>
    <row r="695" spans="1:36" ht="15.7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96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</row>
    <row r="696" spans="1:36" ht="15.7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96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</row>
    <row r="697" spans="1:36" ht="15.7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96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</row>
    <row r="698" spans="1:36" ht="15.7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96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</row>
    <row r="699" spans="1:36" ht="15.7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96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</row>
    <row r="700" spans="1:36" ht="15.7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96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</row>
    <row r="701" spans="1:36" ht="15.7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96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</row>
    <row r="702" spans="1:36" ht="15.7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96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</row>
    <row r="703" spans="1:36" ht="15.7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96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</row>
    <row r="704" spans="1:36" ht="15.7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96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</row>
    <row r="705" spans="1:36" ht="15.7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96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</row>
    <row r="706" spans="1:36" ht="15.7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96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</row>
    <row r="707" spans="1:36" ht="15.7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96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</row>
    <row r="708" spans="1:36" ht="15.7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96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</row>
    <row r="709" spans="1:36" ht="15.7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96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</row>
    <row r="710" spans="1:36" ht="15.7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96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</row>
    <row r="711" spans="1:36" ht="15.7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96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</row>
    <row r="712" spans="1:36" ht="15.7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96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</row>
    <row r="713" spans="1:36" ht="15.7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96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</row>
    <row r="714" spans="1:36" ht="15.7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96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</row>
    <row r="715" spans="1:36" ht="15.7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96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</row>
    <row r="716" spans="1:36" ht="15.7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96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</row>
    <row r="717" spans="1:36" ht="15.7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96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</row>
    <row r="718" spans="1:36" ht="15.7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96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 spans="1:36" ht="15.7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96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 spans="1:36" ht="15.7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96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 spans="1:36" ht="15.7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96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 spans="1:36" ht="15.7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96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 spans="1:36" ht="15.7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96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 spans="1:36" ht="15.7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96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 spans="1:36" ht="15.7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96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 spans="1:36" ht="15.7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96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 spans="1:36" ht="15.7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96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 spans="1:36" ht="15.7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96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 spans="1:36" ht="15.7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96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 spans="1:36" ht="15.7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96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 spans="1:36" ht="15.7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96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 spans="1:36" ht="15.7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96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 spans="1:36" ht="15.7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96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 spans="1:36" ht="15.7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96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 spans="1:36" ht="15.7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96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 spans="1:36" ht="15.7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96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 spans="1:36" ht="15.7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96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 spans="1:36" ht="15.7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96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 spans="1:36" ht="15.7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96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 spans="1:36" ht="15.7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96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 spans="1:36" ht="15.7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96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 spans="1:36" ht="15.7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96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 spans="1:36" ht="15.7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96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 spans="1:36" ht="15.7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96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 spans="1:36" ht="15.7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96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 spans="1:36" ht="15.7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96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 spans="1:36" ht="15.7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96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 spans="1:36" ht="15.7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96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 spans="1:36" ht="15.7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96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 spans="1:36" ht="15.7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96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 spans="1:36" ht="15.7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96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 spans="1:36" ht="15.7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96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 spans="1:36" ht="15.7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96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 spans="1:36" ht="15.7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96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 spans="1:36" ht="15.7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96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 spans="1:36" ht="15.7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96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 spans="1:36" ht="15.7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96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 spans="1:36" ht="15.7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96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 spans="1:36" ht="15.7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96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 spans="1:36" ht="15.7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96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 spans="1:36" ht="15.7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96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 spans="1:36" ht="15.7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96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</row>
    <row r="763" spans="1:36" ht="15.7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96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</row>
    <row r="764" spans="1:36" ht="15.7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96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</row>
    <row r="765" spans="1:36" ht="15.7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96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</row>
    <row r="766" spans="1:36" ht="15.7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96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</row>
    <row r="767" spans="1:36" ht="15.7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96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</row>
    <row r="768" spans="1:36" ht="15.7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96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</row>
    <row r="769" spans="1:36" ht="15.7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96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</row>
    <row r="770" spans="1:36" ht="15.7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96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</row>
    <row r="771" spans="1:36" ht="15.7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96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</row>
    <row r="772" spans="1:36" ht="15.7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96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</row>
    <row r="773" spans="1:36" ht="15.7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96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</row>
    <row r="774" spans="1:36" ht="15.7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96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</row>
    <row r="775" spans="1:36" ht="15.7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96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</row>
    <row r="776" spans="1:36" ht="15.7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96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</row>
    <row r="777" spans="1:36" ht="15.7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96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</row>
    <row r="778" spans="1:36" ht="15.7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96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</row>
    <row r="779" spans="1:36" ht="15.7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96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</row>
    <row r="780" spans="1:36" ht="15.7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96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</row>
    <row r="781" spans="1:36" ht="15.7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96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</row>
    <row r="782" spans="1:36" ht="15.7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96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</row>
    <row r="783" spans="1:36" ht="15.7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96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</row>
    <row r="784" spans="1:36" ht="15.7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96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</row>
    <row r="785" spans="1:36" ht="15.7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96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</row>
    <row r="786" spans="1:36" ht="15.7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96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</row>
    <row r="787" spans="1:36" ht="15.7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96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</row>
    <row r="788" spans="1:36" ht="15.7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96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</row>
    <row r="789" spans="1:36" ht="15.7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96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</row>
    <row r="790" spans="1:36" ht="15.7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96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</row>
    <row r="791" spans="1:36" ht="15.7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96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</row>
    <row r="792" spans="1:36" ht="15.7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96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</row>
    <row r="793" spans="1:36" ht="15.7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96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</row>
    <row r="794" spans="1:36" ht="15.7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96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</row>
    <row r="795" spans="1:36" ht="15.7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96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</row>
    <row r="796" spans="1:36" ht="15.7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96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</row>
    <row r="797" spans="1:36" ht="15.7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96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</row>
    <row r="798" spans="1:36" ht="15.7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96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</row>
    <row r="799" spans="1:36" ht="15.7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96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</row>
    <row r="800" spans="1:36" ht="15.7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96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</row>
    <row r="801" spans="1:36" ht="15.7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96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</row>
    <row r="802" spans="1:36" ht="15.7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96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</row>
    <row r="803" spans="1:36" ht="15.7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96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</row>
    <row r="804" spans="1:36" ht="15.7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96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</row>
    <row r="805" spans="1:36" ht="15.7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96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</row>
    <row r="806" spans="1:36" ht="15.7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96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</row>
    <row r="807" spans="1:36" ht="15.7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96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</row>
    <row r="808" spans="1:36" ht="15.7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96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</row>
    <row r="809" spans="1:36" ht="15.7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96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</row>
    <row r="810" spans="1:36" ht="15.7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96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</row>
    <row r="811" spans="1:36" ht="15.7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96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</row>
    <row r="812" spans="1:36" ht="15.7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96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</row>
    <row r="813" spans="1:36" ht="15.7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96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</row>
    <row r="814" spans="1:36" ht="15.7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96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</row>
    <row r="815" spans="1:36" ht="15.7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96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</row>
    <row r="816" spans="1:36" ht="15.7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96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</row>
    <row r="817" spans="1:36" ht="15.7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96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</row>
    <row r="818" spans="1:36" ht="15.7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96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</row>
    <row r="819" spans="1:36" ht="15.7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96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</row>
    <row r="820" spans="1:36" ht="15.7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96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</row>
    <row r="821" spans="1:36" ht="15.7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96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</row>
    <row r="822" spans="1:36" ht="15.7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96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</row>
    <row r="823" spans="1:36" ht="15.7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96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</row>
    <row r="824" spans="1:36" ht="15.7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96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</row>
    <row r="825" spans="1:36" ht="15.7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96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</row>
    <row r="826" spans="1:36" ht="15.7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96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</row>
    <row r="827" spans="1:36" ht="15.7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96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</row>
    <row r="828" spans="1:36" ht="15.7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96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</row>
    <row r="829" spans="1:36" ht="15.7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96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</row>
    <row r="830" spans="1:36" ht="15.7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96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</row>
    <row r="831" spans="1:36" ht="15.7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96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</row>
    <row r="832" spans="1:36" ht="15.7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96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</row>
    <row r="833" spans="1:36" ht="15.7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96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</row>
    <row r="834" spans="1:36" ht="15.7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96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</row>
    <row r="835" spans="1:36" ht="15.7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96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</row>
    <row r="836" spans="1:36" ht="15.7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96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</row>
    <row r="837" spans="1:36" ht="15.7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96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</row>
    <row r="838" spans="1:36" ht="15.7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96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</row>
    <row r="839" spans="1:36" ht="15.7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96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</row>
    <row r="840" spans="1:36" ht="15.7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96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</row>
    <row r="841" spans="1:36" ht="15.7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96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</row>
    <row r="842" spans="1:36" ht="15.7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96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</row>
    <row r="843" spans="1:36" ht="15.7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96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</row>
    <row r="844" spans="1:36" ht="15.7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96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</row>
    <row r="845" spans="1:36" ht="15.7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96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</row>
    <row r="846" spans="1:36" ht="15.7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96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</row>
    <row r="847" spans="1:36" ht="15.7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96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</row>
    <row r="848" spans="1:36" ht="15.7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96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 spans="1:36" ht="15.7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96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 spans="1:36" ht="15.7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96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 spans="1:36" ht="15.7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96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 spans="1:36" ht="15.7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96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 spans="1:36" ht="15.7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96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 spans="1:36" ht="15.7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96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 spans="1:36" ht="15.7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96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 spans="1:36" ht="15.7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96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 spans="1:36" ht="15.7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96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 spans="1:36" ht="15.7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96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 spans="1:36" ht="15.7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96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 spans="1:36" ht="15.7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96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 spans="1:36" ht="15.7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96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 spans="1:36" ht="15.7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96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 spans="1:36" ht="15.7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96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 spans="1:36" ht="15.7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96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 spans="1:36" ht="15.7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96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 spans="1:36" ht="15.7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96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 spans="1:36" ht="15.7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96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 spans="1:36" ht="15.7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96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 spans="1:36" ht="15.7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96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 spans="1:36" ht="15.7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96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 spans="1:36" ht="15.7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96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 spans="1:36" ht="15.7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96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 spans="1:36" ht="15.7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96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 spans="1:36" ht="15.7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96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 spans="1:36" ht="15.7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96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 spans="1:36" ht="15.7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96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 spans="1:36" ht="15.7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96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 spans="1:36" ht="15.7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96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 spans="1:36" ht="15.7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96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 spans="1:36" ht="15.7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96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 spans="1:36" ht="15.7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96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 spans="1:36" ht="15.7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96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 spans="1:36" ht="15.7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96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 spans="1:36" ht="15.7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96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 spans="1:36" ht="15.7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96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 spans="1:36" ht="15.7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96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 spans="1:36" ht="15.7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96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 spans="1:36" ht="15.7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96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 spans="1:36" ht="15.7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96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 spans="1:36" ht="15.7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96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 spans="1:36" ht="15.7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96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 spans="1:36" ht="15.7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96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</row>
    <row r="893" spans="1:36" ht="15.7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96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</row>
    <row r="894" spans="1:36" ht="15.7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96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</row>
    <row r="895" spans="1:36" ht="15.7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96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</row>
    <row r="896" spans="1:36" ht="15.7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96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</row>
    <row r="897" spans="1:36" ht="15.7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96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</row>
    <row r="898" spans="1:36" ht="15.7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96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</row>
    <row r="899" spans="1:36" ht="15.7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96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</row>
    <row r="900" spans="1:36" ht="15.7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96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</row>
    <row r="901" spans="1:36" ht="15.7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96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</row>
    <row r="902" spans="1:36" ht="15.7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96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</row>
    <row r="903" spans="1:36" ht="15.7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96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</row>
    <row r="904" spans="1:36" ht="15.7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96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</row>
    <row r="905" spans="1:36" ht="15.7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96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</row>
    <row r="906" spans="1:36" ht="15.7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96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</row>
    <row r="907" spans="1:36" ht="15.7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96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</row>
    <row r="908" spans="1:36" ht="15.7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96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</row>
    <row r="909" spans="1:36" ht="15.7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96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</row>
    <row r="910" spans="1:36" ht="15.7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96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</row>
    <row r="911" spans="1:36" ht="15.7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96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</row>
    <row r="912" spans="1:36" ht="15.7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96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</row>
    <row r="913" spans="1:36" ht="15.7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96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</row>
    <row r="914" spans="1:36" ht="15.7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96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</row>
    <row r="915" spans="1:36" ht="15.7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96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</row>
    <row r="916" spans="1:36" ht="15.7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96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</row>
    <row r="917" spans="1:36" ht="15.7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96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</row>
    <row r="918" spans="1:36" ht="15.7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96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</row>
    <row r="919" spans="1:36" ht="15.7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96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</row>
    <row r="920" spans="1:36" ht="15.7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96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</row>
    <row r="921" spans="1:36" ht="15.7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96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</row>
    <row r="922" spans="1:36" ht="15.7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96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</row>
    <row r="923" spans="1:36" ht="15.7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96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</row>
    <row r="924" spans="1:36" ht="15.7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96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</row>
    <row r="925" spans="1:36" ht="15.7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96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</row>
    <row r="926" spans="1:36" ht="15.7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96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</row>
    <row r="927" spans="1:36" ht="15.7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96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</row>
    <row r="928" spans="1:36" ht="15.7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96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</row>
    <row r="929" spans="1:36" ht="15.7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96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</row>
    <row r="930" spans="1:36" ht="15.7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96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</row>
    <row r="931" spans="1:36" ht="15.7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96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</row>
    <row r="932" spans="1:36" ht="15.7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96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</row>
    <row r="933" spans="1:36" ht="15.7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96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</row>
    <row r="934" spans="1:36" ht="15.7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96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</row>
    <row r="935" spans="1:36" ht="15.7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96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</row>
    <row r="936" spans="1:36" ht="15.7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96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</row>
    <row r="937" spans="1:36" ht="15.7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96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</row>
    <row r="938" spans="1:36" ht="15.7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96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 spans="1:36" ht="15.7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96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 spans="1:36" ht="15.7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96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 spans="1:36" ht="15.7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96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 spans="1:36" ht="15.7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96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 spans="1:36" ht="15.7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96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 spans="1:36" ht="15.7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96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 spans="1:36" ht="15.7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96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 spans="1:36" ht="15.7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96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 spans="1:36" ht="15.7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96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 spans="1:36" ht="15.7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96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 spans="1:36" ht="15.7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96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 spans="1:36" ht="15.7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96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 spans="1:36" ht="15.7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96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 spans="1:36" ht="15.7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96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 spans="1:36" ht="15.7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96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 spans="1:36" ht="15.7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96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 spans="1:36" ht="15.7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96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 spans="1:36" ht="15.7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96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 spans="1:36" ht="15.7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96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 spans="1:36" ht="15.7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96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 spans="1:36" ht="15.7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96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 spans="1:36" ht="15.7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96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 spans="1:36" ht="15.7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96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 spans="1:36" ht="15.7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96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 spans="1:36" ht="15.7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96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 spans="1:36" ht="15.7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96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 spans="1:36" ht="15.7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96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 spans="1:36" ht="15.7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96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 spans="1:36" ht="15.7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96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 spans="1:36" ht="15.7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96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 spans="1:36" ht="15.7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96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 spans="1:36" ht="15.7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96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 spans="1:36" ht="15.7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96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 spans="1:36" ht="15.7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96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 spans="1:36" ht="15.7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96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 spans="1:36" ht="15.7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96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spans="1:36" ht="15.7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96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 spans="1:36" ht="15.7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96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 spans="1:36" ht="15.7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96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 spans="1:36" ht="15.7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96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 spans="1:36" ht="15.7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96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 spans="1:36" ht="15.7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96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 spans="1:36" ht="15.7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96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  <row r="982" spans="1:36" ht="15.7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96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</row>
    <row r="983" spans="1:36" ht="15.7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96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</row>
    <row r="984" spans="1:36" ht="15.7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96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</row>
    <row r="985" spans="1:36" ht="15.7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96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</row>
    <row r="986" spans="1:36" ht="15.7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96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</row>
    <row r="987" spans="1:36" ht="15.7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96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</row>
    <row r="988" spans="1:36" ht="15.7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96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</row>
    <row r="989" spans="1:36" ht="15.7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96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</row>
    <row r="990" spans="1:36" ht="15.7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96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</row>
    <row r="991" spans="1:36" ht="15.7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96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</row>
    <row r="992" spans="1:36" ht="15.7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96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</row>
    <row r="993" spans="1:36" ht="15.7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96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</row>
    <row r="994" spans="1:36" ht="15.7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96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</row>
    <row r="995" spans="1:36" ht="15.7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96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</row>
    <row r="996" spans="1:36" ht="15.7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96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</row>
    <row r="997" spans="1:36" ht="15.7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96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</row>
    <row r="998" spans="1:36" ht="15.7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96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</row>
    <row r="999" spans="1:36" ht="15.7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96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</row>
    <row r="1000" spans="1:36" ht="15.75" customHeight="1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96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</row>
    <row r="1001" spans="1:36" ht="15.75" customHeight="1" x14ac:dyDescent="0.3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96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</row>
    <row r="1002" spans="1:36" ht="15.75" customHeight="1" x14ac:dyDescent="0.3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96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</row>
    <row r="1003" spans="1:36" ht="15.75" customHeight="1" x14ac:dyDescent="0.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96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</row>
    <row r="1004" spans="1:36" ht="15.75" customHeight="1" x14ac:dyDescent="0.3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96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</row>
    <row r="1005" spans="1:36" ht="15.75" customHeight="1" x14ac:dyDescent="0.3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96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</row>
    <row r="1006" spans="1:36" ht="15.75" customHeight="1" x14ac:dyDescent="0.3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96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</row>
    <row r="1007" spans="1:36" ht="15.75" customHeight="1" x14ac:dyDescent="0.3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96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</row>
    <row r="1008" spans="1:36" ht="15.75" customHeight="1" x14ac:dyDescent="0.3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96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</row>
    <row r="1009" spans="1:36" ht="15.75" customHeight="1" x14ac:dyDescent="0.3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96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</row>
    <row r="1010" spans="1:36" ht="15.75" customHeight="1" x14ac:dyDescent="0.3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96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</row>
    <row r="1011" spans="1:36" ht="15.75" customHeight="1" x14ac:dyDescent="0.3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96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</row>
    <row r="1012" spans="1:36" ht="15.75" customHeight="1" x14ac:dyDescent="0.3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96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</row>
    <row r="1013" spans="1:36" ht="15.75" customHeight="1" x14ac:dyDescent="0.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96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</row>
  </sheetData>
  <mergeCells count="28">
    <mergeCell ref="D2:E2"/>
    <mergeCell ref="B3:B4"/>
    <mergeCell ref="D3:E3"/>
    <mergeCell ref="D4:E4"/>
    <mergeCell ref="B5:B10"/>
    <mergeCell ref="D5:G5"/>
    <mergeCell ref="D6:E6"/>
    <mergeCell ref="D7:E7"/>
    <mergeCell ref="D8:E8"/>
    <mergeCell ref="Z16:Z20"/>
    <mergeCell ref="Z32:Z36"/>
    <mergeCell ref="Z48:Z52"/>
    <mergeCell ref="Z64:Z68"/>
    <mergeCell ref="Z80:Z84"/>
    <mergeCell ref="Q48:Q54"/>
    <mergeCell ref="Q64:Q70"/>
    <mergeCell ref="Q80:Q86"/>
    <mergeCell ref="D9:E9"/>
    <mergeCell ref="D10:E10"/>
    <mergeCell ref="D11:E11"/>
    <mergeCell ref="H14:I14"/>
    <mergeCell ref="H16:H25"/>
    <mergeCell ref="Q16:Q22"/>
    <mergeCell ref="Q32:Q38"/>
    <mergeCell ref="H80:H89"/>
    <mergeCell ref="H32:H41"/>
    <mergeCell ref="H48:H57"/>
    <mergeCell ref="H64:H7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008"/>
  <sheetViews>
    <sheetView topLeftCell="S62" zoomScale="70" zoomScaleNormal="70" workbookViewId="0">
      <selection activeCell="AE78" sqref="AE78"/>
    </sheetView>
  </sheetViews>
  <sheetFormatPr defaultColWidth="14.44140625" defaultRowHeight="15" customHeight="1" x14ac:dyDescent="0.3"/>
  <cols>
    <col min="1" max="1" width="6.44140625" customWidth="1"/>
    <col min="2" max="2" width="14.6640625" customWidth="1"/>
    <col min="3" max="3" width="38.44140625" customWidth="1"/>
    <col min="4" max="4" width="14.109375" customWidth="1"/>
    <col min="5" max="5" width="10.44140625" customWidth="1"/>
    <col min="6" max="6" width="9.6640625" customWidth="1"/>
    <col min="7" max="7" width="11" customWidth="1"/>
    <col min="8" max="8" width="15.44140625" customWidth="1"/>
    <col min="9" max="9" width="17.44140625" customWidth="1"/>
    <col min="10" max="11" width="8.6640625" customWidth="1"/>
    <col min="12" max="12" width="40.44140625" customWidth="1"/>
    <col min="13" max="13" width="14.33203125" customWidth="1"/>
    <col min="14" max="14" width="15.109375" customWidth="1"/>
    <col min="15" max="15" width="14" customWidth="1"/>
    <col min="16" max="16" width="12.44140625" customWidth="1"/>
    <col min="17" max="17" width="17" customWidth="1"/>
    <col min="18" max="18" width="15.6640625" customWidth="1"/>
    <col min="19" max="20" width="8.6640625" customWidth="1"/>
    <col min="21" max="21" width="45.6640625" customWidth="1"/>
    <col min="22" max="22" width="18.109375" customWidth="1"/>
    <col min="23" max="23" width="12" customWidth="1"/>
    <col min="24" max="24" width="9.33203125" customWidth="1"/>
    <col min="25" max="25" width="10.88671875" customWidth="1"/>
    <col min="26" max="26" width="16.109375" customWidth="1"/>
    <col min="27" max="27" width="15.6640625" customWidth="1"/>
    <col min="28" max="30" width="8.6640625" customWidth="1"/>
    <col min="31" max="31" width="12.33203125" customWidth="1"/>
    <col min="32" max="32" width="12.109375" customWidth="1"/>
    <col min="33" max="33" width="11.33203125" customWidth="1"/>
    <col min="34" max="34" width="12.6640625" customWidth="1"/>
    <col min="35" max="35" width="13.44140625" customWidth="1"/>
  </cols>
  <sheetData>
    <row r="1" spans="1:37" ht="14.4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96"/>
      <c r="M1" s="23"/>
      <c r="N1" s="23"/>
      <c r="O1" s="23"/>
      <c r="P1" s="23"/>
      <c r="Q1" s="23"/>
      <c r="R1" s="23"/>
      <c r="S1" s="23"/>
      <c r="T1" s="23"/>
      <c r="U1" s="96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5" customHeight="1" x14ac:dyDescent="0.3">
      <c r="A2" s="23"/>
      <c r="B2" s="23"/>
      <c r="C2" s="23"/>
      <c r="D2" s="189" t="s">
        <v>102</v>
      </c>
      <c r="E2" s="176"/>
      <c r="F2" s="25" t="s">
        <v>103</v>
      </c>
      <c r="G2" s="25" t="s">
        <v>104</v>
      </c>
      <c r="H2" s="23"/>
      <c r="I2" s="23"/>
      <c r="J2" s="23"/>
      <c r="K2" s="23"/>
      <c r="L2" s="96"/>
      <c r="M2" s="23"/>
      <c r="N2" s="23"/>
      <c r="O2" s="23"/>
      <c r="P2" s="23"/>
      <c r="Q2" s="23"/>
      <c r="R2" s="23"/>
      <c r="S2" s="23"/>
      <c r="T2" s="23"/>
      <c r="U2" s="96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15" customHeight="1" x14ac:dyDescent="0.3">
      <c r="A3" s="23"/>
      <c r="B3" s="190" t="s">
        <v>105</v>
      </c>
      <c r="C3" s="26" t="s">
        <v>15</v>
      </c>
      <c r="D3" s="191">
        <v>2.5</v>
      </c>
      <c r="E3" s="176"/>
      <c r="F3" s="23">
        <v>3.3</v>
      </c>
      <c r="G3" s="23">
        <v>2.5</v>
      </c>
      <c r="H3" s="23" t="s">
        <v>106</v>
      </c>
      <c r="I3" s="23"/>
      <c r="J3" s="23"/>
      <c r="K3" s="23"/>
      <c r="L3" s="96"/>
      <c r="M3" s="23"/>
      <c r="N3" s="23"/>
      <c r="O3" s="23"/>
      <c r="P3" s="23"/>
      <c r="Q3" s="23"/>
      <c r="R3" s="23"/>
      <c r="S3" s="23"/>
      <c r="T3" s="23"/>
      <c r="U3" s="96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spans="1:37" ht="15" customHeight="1" x14ac:dyDescent="0.3">
      <c r="A4" s="23"/>
      <c r="B4" s="176"/>
      <c r="C4" s="26" t="s">
        <v>29</v>
      </c>
      <c r="D4" s="191">
        <v>3</v>
      </c>
      <c r="E4" s="176"/>
      <c r="F4" s="23"/>
      <c r="G4" s="23"/>
      <c r="H4" s="23" t="s">
        <v>106</v>
      </c>
      <c r="I4" s="23"/>
      <c r="J4" s="23"/>
      <c r="K4" s="23"/>
      <c r="L4" s="96"/>
      <c r="M4" s="23"/>
      <c r="N4" s="23"/>
      <c r="O4" s="23"/>
      <c r="P4" s="23"/>
      <c r="Q4" s="23"/>
      <c r="R4" s="23"/>
      <c r="S4" s="23"/>
      <c r="T4" s="23"/>
      <c r="U4" s="96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1:37" ht="15" customHeight="1" x14ac:dyDescent="0.3">
      <c r="A5" s="23"/>
      <c r="B5" s="190" t="s">
        <v>108</v>
      </c>
      <c r="C5" s="29" t="s">
        <v>109</v>
      </c>
      <c r="D5" s="189" t="s">
        <v>110</v>
      </c>
      <c r="E5" s="176"/>
      <c r="F5" s="176"/>
      <c r="G5" s="176"/>
      <c r="H5" s="23"/>
      <c r="I5" s="23"/>
      <c r="J5" s="23"/>
      <c r="K5" s="23"/>
      <c r="L5" s="96"/>
      <c r="M5" s="23"/>
      <c r="N5" s="23"/>
      <c r="O5" s="23"/>
      <c r="P5" s="23"/>
      <c r="Q5" s="23"/>
      <c r="R5" s="23"/>
      <c r="S5" s="23"/>
      <c r="T5" s="23"/>
      <c r="U5" s="96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ht="15" customHeight="1" x14ac:dyDescent="0.3">
      <c r="A6" s="23"/>
      <c r="B6" s="176"/>
      <c r="C6" s="30" t="s">
        <v>111</v>
      </c>
      <c r="D6" s="191">
        <f>18+11</f>
        <v>29</v>
      </c>
      <c r="E6" s="176"/>
      <c r="F6" s="23">
        <v>13</v>
      </c>
      <c r="G6" s="23">
        <v>8</v>
      </c>
      <c r="H6" s="23"/>
      <c r="I6" s="23"/>
      <c r="J6" s="23"/>
      <c r="K6" s="23"/>
      <c r="L6" s="96"/>
      <c r="M6" s="23"/>
      <c r="N6" s="23"/>
      <c r="O6" s="23"/>
      <c r="P6" s="23"/>
      <c r="Q6" s="23"/>
      <c r="R6" s="23"/>
      <c r="S6" s="23"/>
      <c r="T6" s="23"/>
      <c r="U6" s="96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ht="15" customHeight="1" x14ac:dyDescent="0.3">
      <c r="A7" s="23"/>
      <c r="B7" s="176"/>
      <c r="C7" s="30" t="s">
        <v>112</v>
      </c>
      <c r="D7" s="191">
        <f>35+14</f>
        <v>49</v>
      </c>
      <c r="E7" s="176"/>
      <c r="F7" s="23">
        <v>42</v>
      </c>
      <c r="G7" s="23">
        <v>32</v>
      </c>
      <c r="H7" s="23"/>
      <c r="I7" s="23"/>
      <c r="J7" s="23"/>
      <c r="K7" s="23"/>
      <c r="L7" s="96"/>
      <c r="M7" s="23"/>
      <c r="N7" s="23"/>
      <c r="O7" s="23"/>
      <c r="P7" s="23"/>
      <c r="Q7" s="23"/>
      <c r="R7" s="23"/>
      <c r="S7" s="23"/>
      <c r="T7" s="23"/>
      <c r="U7" s="96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ht="15" customHeight="1" x14ac:dyDescent="0.3">
      <c r="A8" s="23"/>
      <c r="B8" s="176"/>
      <c r="C8" s="30" t="s">
        <v>113</v>
      </c>
      <c r="D8" s="191">
        <f>30+20</f>
        <v>50</v>
      </c>
      <c r="E8" s="176"/>
      <c r="F8" s="23">
        <v>52</v>
      </c>
      <c r="G8" s="23">
        <v>31</v>
      </c>
      <c r="H8" s="23"/>
      <c r="I8" s="23"/>
      <c r="J8" s="23"/>
      <c r="K8" s="23"/>
      <c r="L8" s="96"/>
      <c r="M8" s="23"/>
      <c r="N8" s="23"/>
      <c r="O8" s="23"/>
      <c r="P8" s="23"/>
      <c r="Q8" s="23"/>
      <c r="R8" s="23"/>
      <c r="S8" s="23"/>
      <c r="T8" s="23"/>
      <c r="U8" s="96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ht="15" customHeight="1" x14ac:dyDescent="0.3">
      <c r="A9" s="23"/>
      <c r="B9" s="176"/>
      <c r="C9" s="30" t="s">
        <v>114</v>
      </c>
      <c r="D9" s="191">
        <f>31+13</f>
        <v>44</v>
      </c>
      <c r="E9" s="176"/>
      <c r="F9" s="23">
        <v>36</v>
      </c>
      <c r="G9" s="23">
        <v>25</v>
      </c>
      <c r="H9" s="23"/>
      <c r="I9" s="23"/>
      <c r="J9" s="23"/>
      <c r="K9" s="23"/>
      <c r="L9" s="96"/>
      <c r="M9" s="23"/>
      <c r="N9" s="23"/>
      <c r="O9" s="23"/>
      <c r="P9" s="23"/>
      <c r="Q9" s="23"/>
      <c r="R9" s="23"/>
      <c r="S9" s="23"/>
      <c r="T9" s="23"/>
      <c r="U9" s="96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ht="15" customHeight="1" x14ac:dyDescent="0.3">
      <c r="A10" s="23"/>
      <c r="B10" s="176"/>
      <c r="C10" s="30" t="s">
        <v>115</v>
      </c>
      <c r="D10" s="191">
        <f>16+9</f>
        <v>25</v>
      </c>
      <c r="E10" s="176"/>
      <c r="F10" s="23">
        <v>18</v>
      </c>
      <c r="G10" s="23">
        <v>18</v>
      </c>
      <c r="H10" s="23"/>
      <c r="I10" s="23"/>
      <c r="J10" s="23"/>
      <c r="K10" s="23"/>
      <c r="L10" s="96"/>
      <c r="M10" s="23"/>
      <c r="N10" s="23"/>
      <c r="O10" s="23"/>
      <c r="P10" s="23"/>
      <c r="Q10" s="23"/>
      <c r="R10" s="23"/>
      <c r="S10" s="23"/>
      <c r="T10" s="23"/>
      <c r="U10" s="96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ht="15" customHeight="1" x14ac:dyDescent="0.3">
      <c r="A11" s="23"/>
      <c r="B11" s="203" t="s">
        <v>116</v>
      </c>
      <c r="C11" s="176"/>
      <c r="D11" s="23">
        <v>365</v>
      </c>
      <c r="E11" s="23"/>
      <c r="F11" s="23"/>
      <c r="G11" s="23"/>
      <c r="H11" s="23"/>
      <c r="I11" s="23"/>
      <c r="J11" s="23"/>
      <c r="K11" s="23"/>
      <c r="L11" s="96"/>
      <c r="M11" s="23"/>
      <c r="N11" s="23"/>
      <c r="O11" s="23"/>
      <c r="P11" s="23"/>
      <c r="Q11" s="23"/>
      <c r="R11" s="23"/>
      <c r="S11" s="23"/>
      <c r="T11" s="23"/>
      <c r="U11" s="96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14.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96"/>
      <c r="M12" s="23"/>
      <c r="N12" s="23"/>
      <c r="O12" s="23"/>
      <c r="P12" s="23"/>
      <c r="Q12" s="23"/>
      <c r="R12" s="23"/>
      <c r="S12" s="23"/>
      <c r="T12" s="23"/>
      <c r="U12" s="96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ht="14.4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96"/>
      <c r="M13" s="23"/>
      <c r="N13" s="23"/>
      <c r="O13" s="23"/>
      <c r="P13" s="23"/>
      <c r="Q13" s="23"/>
      <c r="R13" s="23"/>
      <c r="S13" s="23"/>
      <c r="T13" s="23"/>
      <c r="U13" s="96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ht="18" x14ac:dyDescent="0.35">
      <c r="A14" s="23"/>
      <c r="B14" s="23"/>
      <c r="C14" s="32" t="s">
        <v>552</v>
      </c>
      <c r="D14" s="69"/>
      <c r="E14" s="69"/>
      <c r="F14" s="69"/>
      <c r="G14" s="69"/>
      <c r="H14" s="184" t="s">
        <v>281</v>
      </c>
      <c r="I14" s="185"/>
      <c r="J14" s="23"/>
      <c r="K14" s="23"/>
      <c r="L14" s="97" t="s">
        <v>552</v>
      </c>
      <c r="M14" s="33"/>
      <c r="N14" s="33"/>
      <c r="O14" s="33"/>
      <c r="P14" s="33"/>
      <c r="Q14" s="33"/>
      <c r="R14" s="33"/>
      <c r="S14" s="23"/>
      <c r="T14" s="23"/>
      <c r="U14" s="97" t="s">
        <v>552</v>
      </c>
      <c r="V14" s="33"/>
      <c r="W14" s="33"/>
      <c r="X14" s="33"/>
      <c r="Y14" s="33"/>
      <c r="Z14" s="33"/>
      <c r="AA14" s="33"/>
      <c r="AB14" s="33"/>
      <c r="AC14" s="23"/>
      <c r="AD14" s="23"/>
      <c r="AE14" s="26" t="s">
        <v>346</v>
      </c>
      <c r="AF14" s="23"/>
      <c r="AG14" s="23"/>
      <c r="AH14" s="23"/>
      <c r="AI14" s="23"/>
      <c r="AJ14" s="23"/>
      <c r="AK14" s="23"/>
    </row>
    <row r="15" spans="1:37" ht="78" customHeight="1" x14ac:dyDescent="0.35">
      <c r="A15" s="23"/>
      <c r="B15" s="23"/>
      <c r="C15" s="37" t="s">
        <v>176</v>
      </c>
      <c r="D15" s="38" t="s">
        <v>122</v>
      </c>
      <c r="E15" s="38" t="s">
        <v>129</v>
      </c>
      <c r="F15" s="38" t="s">
        <v>130</v>
      </c>
      <c r="G15" s="38" t="s">
        <v>131</v>
      </c>
      <c r="H15" s="39" t="s">
        <v>126</v>
      </c>
      <c r="I15" s="40" t="s">
        <v>127</v>
      </c>
      <c r="J15" s="23"/>
      <c r="K15" s="23"/>
      <c r="L15" s="43" t="s">
        <v>177</v>
      </c>
      <c r="M15" s="38" t="s">
        <v>122</v>
      </c>
      <c r="N15" s="38" t="s">
        <v>129</v>
      </c>
      <c r="O15" s="38" t="s">
        <v>130</v>
      </c>
      <c r="P15" s="38" t="s">
        <v>131</v>
      </c>
      <c r="Q15" s="39" t="s">
        <v>126</v>
      </c>
      <c r="R15" s="40" t="s">
        <v>127</v>
      </c>
      <c r="S15" s="23"/>
      <c r="T15" s="23"/>
      <c r="U15" s="43" t="s">
        <v>178</v>
      </c>
      <c r="V15" s="38" t="s">
        <v>122</v>
      </c>
      <c r="W15" s="38" t="s">
        <v>129</v>
      </c>
      <c r="X15" s="38" t="s">
        <v>130</v>
      </c>
      <c r="Y15" s="38" t="s">
        <v>131</v>
      </c>
      <c r="Z15" s="39" t="s">
        <v>126</v>
      </c>
      <c r="AA15" s="40" t="s">
        <v>127</v>
      </c>
      <c r="AB15" s="118"/>
      <c r="AC15" s="23"/>
      <c r="AD15" s="23"/>
      <c r="AE15" s="44"/>
      <c r="AF15" s="99" t="s">
        <v>179</v>
      </c>
      <c r="AG15" s="100" t="s">
        <v>180</v>
      </c>
      <c r="AH15" s="100" t="s">
        <v>113</v>
      </c>
      <c r="AI15" s="100" t="s">
        <v>114</v>
      </c>
      <c r="AJ15" s="100" t="s">
        <v>115</v>
      </c>
      <c r="AK15" s="29" t="s">
        <v>213</v>
      </c>
    </row>
    <row r="16" spans="1:37" ht="17.399999999999999" x14ac:dyDescent="0.35">
      <c r="A16" s="23"/>
      <c r="B16" s="23"/>
      <c r="C16" s="44" t="s">
        <v>133</v>
      </c>
      <c r="D16" s="45">
        <v>0</v>
      </c>
      <c r="E16" s="45">
        <v>0</v>
      </c>
      <c r="F16" s="46" t="s">
        <v>134</v>
      </c>
      <c r="G16" s="47">
        <v>0</v>
      </c>
      <c r="H16" s="194">
        <f>D6*D3*'Vehicle Infos'!K10</f>
        <v>230.55</v>
      </c>
      <c r="I16" s="44">
        <f>$D$6*E16*'Vehicle Infos'!$L$10</f>
        <v>0</v>
      </c>
      <c r="J16" s="23"/>
      <c r="K16" s="23"/>
      <c r="L16" s="101" t="s">
        <v>135</v>
      </c>
      <c r="M16" s="48">
        <v>0</v>
      </c>
      <c r="N16" s="47">
        <v>0</v>
      </c>
      <c r="O16" s="46" t="s">
        <v>134</v>
      </c>
      <c r="P16" s="47">
        <v>0</v>
      </c>
      <c r="Q16" s="194">
        <f>F6*F3*'Vehicle Infos'!K21</f>
        <v>135.97154999999998</v>
      </c>
      <c r="R16" s="49">
        <f>$F$6*N16*'Vehicle Infos'!$L$21</f>
        <v>0</v>
      </c>
      <c r="S16" s="23"/>
      <c r="T16" s="23"/>
      <c r="U16" s="101" t="s">
        <v>136</v>
      </c>
      <c r="V16" s="48">
        <v>0</v>
      </c>
      <c r="W16" s="47">
        <v>0</v>
      </c>
      <c r="X16" s="46" t="s">
        <v>134</v>
      </c>
      <c r="Y16" s="47">
        <v>0</v>
      </c>
      <c r="Z16" s="194">
        <f>G6*G3*'Vehicle Infos'!K29</f>
        <v>63.359999999999992</v>
      </c>
      <c r="AA16" s="49">
        <f>$G$6*W16*'Vehicle Infos'!$L$29</f>
        <v>0</v>
      </c>
      <c r="AB16" s="44"/>
      <c r="AC16" s="23"/>
      <c r="AD16" s="23"/>
      <c r="AE16" s="44" t="s">
        <v>206</v>
      </c>
      <c r="AF16" s="89">
        <f>SUM(H16:H25)*D11</f>
        <v>84150.75</v>
      </c>
      <c r="AG16" s="81">
        <f>SUM(H31:H40)*D11</f>
        <v>142185.75</v>
      </c>
      <c r="AH16" s="81">
        <f>SUM(H46:H55)*D11</f>
        <v>145087.5</v>
      </c>
      <c r="AI16" s="81">
        <f>SUM(H61:H70)*D11</f>
        <v>127677</v>
      </c>
      <c r="AJ16" s="81">
        <f>SUM(H76:H85)*D11</f>
        <v>72543.75</v>
      </c>
      <c r="AK16" s="81">
        <f>SUM(AF16:AJ16)</f>
        <v>571644.75</v>
      </c>
    </row>
    <row r="17" spans="1:37" ht="17.399999999999999" x14ac:dyDescent="0.35">
      <c r="A17" s="23"/>
      <c r="B17" s="23"/>
      <c r="C17" s="44" t="s">
        <v>137</v>
      </c>
      <c r="D17" s="45">
        <v>7.5</v>
      </c>
      <c r="E17" s="45">
        <v>7.5</v>
      </c>
      <c r="F17" s="46" t="s">
        <v>553</v>
      </c>
      <c r="G17" s="47">
        <v>6</v>
      </c>
      <c r="H17" s="181"/>
      <c r="I17" s="44">
        <f>$D$6*E17*'Vehicle Infos'!$L$10</f>
        <v>56.008569999999999</v>
      </c>
      <c r="J17" s="23"/>
      <c r="K17" s="23"/>
      <c r="L17" s="101" t="s">
        <v>139</v>
      </c>
      <c r="M17" s="48">
        <v>1</v>
      </c>
      <c r="N17" s="47">
        <v>1</v>
      </c>
      <c r="O17" s="46" t="s">
        <v>140</v>
      </c>
      <c r="P17" s="47">
        <v>2</v>
      </c>
      <c r="Q17" s="181"/>
      <c r="R17" s="49">
        <f>$F$6*N17*'Vehicle Infos'!$L$21</f>
        <v>2.3636191428571425</v>
      </c>
      <c r="S17" s="23"/>
      <c r="T17" s="23"/>
      <c r="U17" s="101" t="s">
        <v>141</v>
      </c>
      <c r="V17" s="48">
        <v>3</v>
      </c>
      <c r="W17" s="51">
        <v>3</v>
      </c>
      <c r="X17" s="46" t="s">
        <v>503</v>
      </c>
      <c r="Y17" s="47">
        <v>4</v>
      </c>
      <c r="Z17" s="181"/>
      <c r="AA17" s="49">
        <f>$G$6*W17*'Vehicle Infos'!$L$29</f>
        <v>4.0101640000000005</v>
      </c>
      <c r="AB17" s="57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ht="17.399999999999999" x14ac:dyDescent="0.35">
      <c r="A18" s="23"/>
      <c r="B18" s="23"/>
      <c r="C18" s="44" t="s">
        <v>143</v>
      </c>
      <c r="D18" s="45">
        <v>8</v>
      </c>
      <c r="E18" s="45">
        <v>0.5</v>
      </c>
      <c r="F18" s="46" t="s">
        <v>138</v>
      </c>
      <c r="G18" s="47">
        <v>1</v>
      </c>
      <c r="H18" s="181"/>
      <c r="I18" s="44">
        <f>$D$6*E18*'Vehicle Infos'!$L$10</f>
        <v>3.7339046666666666</v>
      </c>
      <c r="J18" s="23"/>
      <c r="K18" s="23"/>
      <c r="L18" s="101" t="s">
        <v>145</v>
      </c>
      <c r="M18" s="48">
        <v>2.5</v>
      </c>
      <c r="N18" s="51">
        <v>1.5</v>
      </c>
      <c r="O18" s="46" t="s">
        <v>138</v>
      </c>
      <c r="P18" s="47">
        <v>5</v>
      </c>
      <c r="Q18" s="181"/>
      <c r="R18" s="49">
        <f>$F$6*N18*'Vehicle Infos'!$L$21</f>
        <v>3.5454287142857135</v>
      </c>
      <c r="S18" s="23"/>
      <c r="T18" s="23"/>
      <c r="U18" s="101" t="s">
        <v>146</v>
      </c>
      <c r="V18" s="48">
        <v>5.5</v>
      </c>
      <c r="W18" s="51">
        <v>2.5</v>
      </c>
      <c r="X18" s="46" t="s">
        <v>402</v>
      </c>
      <c r="Y18" s="47">
        <v>5</v>
      </c>
      <c r="Z18" s="181"/>
      <c r="AA18" s="49">
        <f>$G$6*W18*'Vehicle Infos'!$L$29</f>
        <v>3.3418033333333335</v>
      </c>
      <c r="AB18" s="57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ht="17.399999999999999" x14ac:dyDescent="0.35">
      <c r="A19" s="23"/>
      <c r="B19" s="23"/>
      <c r="C19" s="44" t="s">
        <v>148</v>
      </c>
      <c r="D19" s="45">
        <v>9</v>
      </c>
      <c r="E19" s="45">
        <v>1</v>
      </c>
      <c r="F19" s="46" t="s">
        <v>402</v>
      </c>
      <c r="G19" s="47">
        <v>2</v>
      </c>
      <c r="H19" s="181"/>
      <c r="I19" s="44">
        <f>$D$6*E19*'Vehicle Infos'!$L$10</f>
        <v>7.4678093333333333</v>
      </c>
      <c r="J19" s="23"/>
      <c r="K19" s="23"/>
      <c r="L19" s="101" t="s">
        <v>150</v>
      </c>
      <c r="M19" s="48">
        <v>9</v>
      </c>
      <c r="N19" s="51">
        <v>6.5</v>
      </c>
      <c r="O19" s="46" t="s">
        <v>348</v>
      </c>
      <c r="P19" s="47">
        <v>9</v>
      </c>
      <c r="Q19" s="181"/>
      <c r="R19" s="49">
        <f>$F$6*N19*'Vehicle Infos'!$L$21</f>
        <v>15.363524428571425</v>
      </c>
      <c r="S19" s="23"/>
      <c r="T19" s="23"/>
      <c r="U19" s="101" t="s">
        <v>151</v>
      </c>
      <c r="V19" s="48">
        <v>7.5</v>
      </c>
      <c r="W19" s="51">
        <v>2</v>
      </c>
      <c r="X19" s="46" t="s">
        <v>285</v>
      </c>
      <c r="Y19" s="47">
        <v>8</v>
      </c>
      <c r="Z19" s="181"/>
      <c r="AA19" s="49">
        <f>$G$6*W19*'Vehicle Infos'!$L$29</f>
        <v>2.6734426666666669</v>
      </c>
      <c r="AB19" s="57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ht="17.399999999999999" x14ac:dyDescent="0.35">
      <c r="A20" s="23"/>
      <c r="B20" s="23"/>
      <c r="C20" s="44" t="s">
        <v>153</v>
      </c>
      <c r="D20" s="45">
        <v>10</v>
      </c>
      <c r="E20" s="45">
        <v>1</v>
      </c>
      <c r="F20" s="46" t="s">
        <v>347</v>
      </c>
      <c r="G20" s="47">
        <v>2</v>
      </c>
      <c r="H20" s="181"/>
      <c r="I20" s="44">
        <f>$D$6*E20*'Vehicle Infos'!$L$10</f>
        <v>7.4678093333333333</v>
      </c>
      <c r="J20" s="23"/>
      <c r="K20" s="23"/>
      <c r="L20" s="101" t="s">
        <v>155</v>
      </c>
      <c r="M20" s="48">
        <v>12</v>
      </c>
      <c r="N20" s="51">
        <v>3</v>
      </c>
      <c r="O20" s="46" t="s">
        <v>349</v>
      </c>
      <c r="P20" s="47">
        <v>4</v>
      </c>
      <c r="Q20" s="181"/>
      <c r="R20" s="49">
        <f>$F$6*N20*'Vehicle Infos'!$L$21</f>
        <v>7.090857428571427</v>
      </c>
      <c r="S20" s="23"/>
      <c r="T20" s="23"/>
      <c r="U20" s="101" t="s">
        <v>156</v>
      </c>
      <c r="V20" s="48">
        <v>12</v>
      </c>
      <c r="W20" s="51">
        <v>4.5</v>
      </c>
      <c r="X20" s="46" t="s">
        <v>166</v>
      </c>
      <c r="Y20" s="47">
        <v>13</v>
      </c>
      <c r="Z20" s="193"/>
      <c r="AA20" s="49">
        <f>$G$6*W20*'Vehicle Infos'!$L$29</f>
        <v>6.0152460000000003</v>
      </c>
      <c r="AB20" s="57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ht="17.399999999999999" x14ac:dyDescent="0.35">
      <c r="A21" s="23"/>
      <c r="B21" s="23"/>
      <c r="C21" s="44" t="s">
        <v>158</v>
      </c>
      <c r="D21" s="45">
        <v>11</v>
      </c>
      <c r="E21" s="45">
        <v>1</v>
      </c>
      <c r="F21" s="46" t="s">
        <v>348</v>
      </c>
      <c r="G21" s="47">
        <v>5</v>
      </c>
      <c r="H21" s="181"/>
      <c r="I21" s="44">
        <f>$D$6*E21*'Vehicle Infos'!$L$10</f>
        <v>7.4678093333333333</v>
      </c>
      <c r="J21" s="23"/>
      <c r="K21" s="23"/>
      <c r="L21" s="101" t="s">
        <v>160</v>
      </c>
      <c r="M21" s="48">
        <v>15.5</v>
      </c>
      <c r="N21" s="51">
        <v>3.5</v>
      </c>
      <c r="O21" s="46" t="s">
        <v>288</v>
      </c>
      <c r="P21" s="91">
        <v>5</v>
      </c>
      <c r="Q21" s="181"/>
      <c r="R21" s="49">
        <f>$F$6*N21*'Vehicle Infos'!$L$21</f>
        <v>8.2726669999999984</v>
      </c>
      <c r="S21" s="23"/>
      <c r="T21" s="23"/>
      <c r="U21" s="102" t="s">
        <v>162</v>
      </c>
      <c r="V21" s="48"/>
      <c r="W21" s="51">
        <f>SUM(W16:W20)</f>
        <v>12</v>
      </c>
      <c r="X21" s="46"/>
      <c r="Y21" s="92">
        <f>SUM(Y16:Y20)</f>
        <v>30</v>
      </c>
      <c r="Z21" s="57"/>
      <c r="AA21" s="49">
        <f>$G$6*W21*'Vehicle Infos'!$L$29</f>
        <v>16.040656000000002</v>
      </c>
      <c r="AB21" s="57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ht="17.399999999999999" x14ac:dyDescent="0.35">
      <c r="A22" s="23"/>
      <c r="B22" s="23"/>
      <c r="C22" s="44" t="s">
        <v>163</v>
      </c>
      <c r="D22" s="45">
        <v>12</v>
      </c>
      <c r="E22" s="45">
        <v>1</v>
      </c>
      <c r="F22" s="46" t="s">
        <v>152</v>
      </c>
      <c r="G22" s="47">
        <v>3</v>
      </c>
      <c r="H22" s="181"/>
      <c r="I22" s="44">
        <f>$D$6*E22*'Vehicle Infos'!$L$10</f>
        <v>7.4678093333333333</v>
      </c>
      <c r="J22" s="23"/>
      <c r="K22" s="23"/>
      <c r="L22" s="101" t="s">
        <v>165</v>
      </c>
      <c r="M22" s="48">
        <v>18.5</v>
      </c>
      <c r="N22" s="51">
        <v>3</v>
      </c>
      <c r="O22" s="46" t="s">
        <v>166</v>
      </c>
      <c r="P22" s="47">
        <v>5</v>
      </c>
      <c r="Q22" s="193"/>
      <c r="R22" s="49">
        <f>$F$6*N22*'Vehicle Infos'!$L$21</f>
        <v>7.090857428571427</v>
      </c>
      <c r="S22" s="23"/>
      <c r="T22" s="23"/>
      <c r="U22" s="101"/>
      <c r="V22" s="48"/>
      <c r="W22" s="51"/>
      <c r="X22" s="46"/>
      <c r="Y22" s="47"/>
      <c r="Z22" s="57"/>
      <c r="AA22" s="49"/>
      <c r="AB22" s="57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ht="17.399999999999999" x14ac:dyDescent="0.35">
      <c r="A23" s="23"/>
      <c r="B23" s="23"/>
      <c r="C23" s="44" t="s">
        <v>167</v>
      </c>
      <c r="D23" s="45">
        <v>14</v>
      </c>
      <c r="E23" s="45">
        <v>2</v>
      </c>
      <c r="F23" s="46" t="s">
        <v>554</v>
      </c>
      <c r="G23" s="47">
        <v>3</v>
      </c>
      <c r="H23" s="181"/>
      <c r="I23" s="44">
        <f>$D$6*E23*'Vehicle Infos'!$L$10</f>
        <v>14.935618666666667</v>
      </c>
      <c r="J23" s="23"/>
      <c r="K23" s="23"/>
      <c r="L23" s="102" t="s">
        <v>162</v>
      </c>
      <c r="M23" s="49"/>
      <c r="N23" s="45">
        <f>SUM(N16:N22)</f>
        <v>18.5</v>
      </c>
      <c r="O23" s="58"/>
      <c r="P23" s="75">
        <v>30</v>
      </c>
      <c r="Q23" s="57"/>
      <c r="R23" s="49">
        <f>$F$6*N23*'Vehicle Infos'!$L$21</f>
        <v>43.726954142857139</v>
      </c>
      <c r="S23" s="23"/>
      <c r="T23" s="23"/>
      <c r="U23" s="102"/>
      <c r="V23" s="49"/>
      <c r="W23" s="45"/>
      <c r="X23" s="58"/>
      <c r="Y23" s="75"/>
      <c r="Z23" s="57"/>
      <c r="AA23" s="49"/>
      <c r="AB23" s="57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ht="17.399999999999999" x14ac:dyDescent="0.35">
      <c r="A24" s="23"/>
      <c r="B24" s="23"/>
      <c r="C24" s="44" t="s">
        <v>169</v>
      </c>
      <c r="D24" s="45">
        <v>14.5</v>
      </c>
      <c r="E24" s="45">
        <v>0.5</v>
      </c>
      <c r="F24" s="46" t="s">
        <v>161</v>
      </c>
      <c r="G24" s="47">
        <v>2</v>
      </c>
      <c r="H24" s="181"/>
      <c r="I24" s="44">
        <f>$D$6*E24*'Vehicle Infos'!$L$10</f>
        <v>3.7339046666666666</v>
      </c>
      <c r="J24" s="23"/>
      <c r="K24" s="23"/>
      <c r="L24" s="101"/>
      <c r="M24" s="45"/>
      <c r="N24" s="45"/>
      <c r="O24" s="46"/>
      <c r="P24" s="47"/>
      <c r="Q24" s="57"/>
      <c r="R24" s="49"/>
      <c r="S24" s="23"/>
      <c r="T24" s="23"/>
      <c r="U24" s="96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ht="17.399999999999999" x14ac:dyDescent="0.35">
      <c r="A25" s="23"/>
      <c r="B25" s="23"/>
      <c r="C25" s="44" t="s">
        <v>171</v>
      </c>
      <c r="D25" s="45">
        <v>15</v>
      </c>
      <c r="E25" s="45">
        <v>0.5</v>
      </c>
      <c r="F25" s="46" t="s">
        <v>288</v>
      </c>
      <c r="G25" s="47">
        <v>1</v>
      </c>
      <c r="H25" s="193"/>
      <c r="I25" s="44">
        <f>$D$6*E25*'Vehicle Infos'!$L$10</f>
        <v>3.7339046666666666</v>
      </c>
      <c r="J25" s="23"/>
      <c r="K25" s="23"/>
      <c r="L25" s="101"/>
      <c r="M25" s="45"/>
      <c r="N25" s="45"/>
      <c r="O25" s="46"/>
      <c r="P25" s="47"/>
      <c r="Q25" s="57"/>
      <c r="R25" s="49"/>
      <c r="S25" s="23"/>
      <c r="T25" s="23"/>
      <c r="U25" s="96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ht="17.399999999999999" x14ac:dyDescent="0.35">
      <c r="A26" s="23"/>
      <c r="B26" s="23"/>
      <c r="C26" s="54" t="s">
        <v>162</v>
      </c>
      <c r="D26" s="49"/>
      <c r="E26" s="45">
        <v>15</v>
      </c>
      <c r="F26" s="58"/>
      <c r="G26" s="75">
        <f>SUM(G17:G25)</f>
        <v>25</v>
      </c>
      <c r="H26" s="47"/>
      <c r="I26" s="44">
        <f>$D$6*E26*'Vehicle Infos'!$L$10</f>
        <v>112.01714</v>
      </c>
      <c r="J26" s="23"/>
      <c r="K26" s="23"/>
      <c r="L26" s="102"/>
      <c r="M26" s="49"/>
      <c r="N26" s="45"/>
      <c r="O26" s="58"/>
      <c r="P26" s="75"/>
      <c r="Q26" s="47"/>
      <c r="R26" s="47"/>
      <c r="S26" s="23"/>
      <c r="T26" s="23"/>
      <c r="U26" s="96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ht="14.4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96"/>
      <c r="M27" s="23"/>
      <c r="N27" s="23"/>
      <c r="O27" s="23"/>
      <c r="P27" s="23"/>
      <c r="Q27" s="23"/>
      <c r="R27" s="23"/>
      <c r="S27" s="23"/>
      <c r="T27" s="23"/>
      <c r="U27" s="96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ht="14.4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96"/>
      <c r="M28" s="23"/>
      <c r="N28" s="23"/>
      <c r="O28" s="23"/>
      <c r="P28" s="23"/>
      <c r="Q28" s="23"/>
      <c r="R28" s="23"/>
      <c r="S28" s="23"/>
      <c r="T28" s="23"/>
      <c r="U28" s="96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ht="18" x14ac:dyDescent="0.35">
      <c r="A29" s="23"/>
      <c r="B29" s="23"/>
      <c r="C29" s="32" t="s">
        <v>555</v>
      </c>
      <c r="D29" s="69"/>
      <c r="E29" s="69"/>
      <c r="F29" s="69"/>
      <c r="G29" s="69"/>
      <c r="H29" s="69"/>
      <c r="I29" s="69"/>
      <c r="J29" s="23"/>
      <c r="K29" s="23"/>
      <c r="L29" s="97" t="s">
        <v>555</v>
      </c>
      <c r="M29" s="33"/>
      <c r="N29" s="33"/>
      <c r="O29" s="33"/>
      <c r="P29" s="33"/>
      <c r="Q29" s="33"/>
      <c r="R29" s="33"/>
      <c r="S29" s="23"/>
      <c r="T29" s="23"/>
      <c r="U29" s="97" t="s">
        <v>555</v>
      </c>
      <c r="V29" s="33"/>
      <c r="W29" s="33"/>
      <c r="X29" s="33"/>
      <c r="Y29" s="33"/>
      <c r="Z29" s="33"/>
      <c r="AA29" s="33"/>
      <c r="AB29" s="3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ht="64.5" customHeight="1" x14ac:dyDescent="0.3">
      <c r="A30" s="23"/>
      <c r="B30" s="23"/>
      <c r="C30" s="37" t="s">
        <v>176</v>
      </c>
      <c r="D30" s="38" t="s">
        <v>122</v>
      </c>
      <c r="E30" s="38" t="s">
        <v>129</v>
      </c>
      <c r="F30" s="38" t="s">
        <v>130</v>
      </c>
      <c r="G30" s="38" t="s">
        <v>131</v>
      </c>
      <c r="H30" s="39" t="s">
        <v>126</v>
      </c>
      <c r="I30" s="40" t="s">
        <v>127</v>
      </c>
      <c r="J30" s="23"/>
      <c r="K30" s="23"/>
      <c r="L30" s="43" t="s">
        <v>177</v>
      </c>
      <c r="M30" s="38" t="s">
        <v>122</v>
      </c>
      <c r="N30" s="38" t="s">
        <v>129</v>
      </c>
      <c r="O30" s="38" t="s">
        <v>130</v>
      </c>
      <c r="P30" s="38" t="s">
        <v>131</v>
      </c>
      <c r="Q30" s="39" t="s">
        <v>126</v>
      </c>
      <c r="R30" s="40" t="s">
        <v>127</v>
      </c>
      <c r="S30" s="23"/>
      <c r="T30" s="23"/>
      <c r="U30" s="43" t="s">
        <v>178</v>
      </c>
      <c r="V30" s="38" t="s">
        <v>122</v>
      </c>
      <c r="W30" s="38" t="s">
        <v>129</v>
      </c>
      <c r="X30" s="38" t="s">
        <v>130</v>
      </c>
      <c r="Y30" s="38" t="s">
        <v>131</v>
      </c>
      <c r="Z30" s="39" t="s">
        <v>126</v>
      </c>
      <c r="AA30" s="40" t="s">
        <v>127</v>
      </c>
      <c r="AB30" s="118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ht="17.399999999999999" x14ac:dyDescent="0.35">
      <c r="A31" s="23"/>
      <c r="B31" s="23"/>
      <c r="C31" s="44" t="s">
        <v>133</v>
      </c>
      <c r="D31" s="45">
        <v>0</v>
      </c>
      <c r="E31" s="45">
        <v>0</v>
      </c>
      <c r="F31" s="46" t="s">
        <v>181</v>
      </c>
      <c r="G31" s="47"/>
      <c r="H31" s="194">
        <f>D7*D3*'Vehicle Infos'!K10</f>
        <v>389.55</v>
      </c>
      <c r="I31" s="44">
        <f>$D$7*E31*'Vehicle Infos'!$L$10</f>
        <v>0</v>
      </c>
      <c r="J31" s="23"/>
      <c r="K31" s="23"/>
      <c r="L31" s="101" t="s">
        <v>135</v>
      </c>
      <c r="M31" s="48">
        <v>0</v>
      </c>
      <c r="N31" s="47">
        <v>0</v>
      </c>
      <c r="O31" s="46" t="s">
        <v>181</v>
      </c>
      <c r="P31" s="47"/>
      <c r="Q31" s="194">
        <f>F7*F3*'Vehicle Infos'!K21</f>
        <v>439.29269999999997</v>
      </c>
      <c r="R31" s="49">
        <f>$F$7*N31*'Vehicle Infos'!$L$21</f>
        <v>0</v>
      </c>
      <c r="S31" s="23"/>
      <c r="T31" s="23"/>
      <c r="U31" s="101" t="s">
        <v>136</v>
      </c>
      <c r="V31" s="48">
        <v>0</v>
      </c>
      <c r="W31" s="47">
        <v>0</v>
      </c>
      <c r="X31" s="46" t="s">
        <v>181</v>
      </c>
      <c r="Y31" s="47">
        <v>0</v>
      </c>
      <c r="Z31" s="194">
        <f>G7*G3*'Vehicle Infos'!K29</f>
        <v>253.43999999999997</v>
      </c>
      <c r="AA31" s="49">
        <f>$G$7*W31*'Vehicle Infos'!$L$29</f>
        <v>0</v>
      </c>
      <c r="AB31" s="44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ht="15.75" customHeight="1" x14ac:dyDescent="0.35">
      <c r="A32" s="23"/>
      <c r="B32" s="23"/>
      <c r="C32" s="44" t="s">
        <v>137</v>
      </c>
      <c r="D32" s="45">
        <v>7.5</v>
      </c>
      <c r="E32" s="45">
        <v>7.5</v>
      </c>
      <c r="F32" s="46" t="s">
        <v>405</v>
      </c>
      <c r="G32" s="47">
        <v>6</v>
      </c>
      <c r="H32" s="181"/>
      <c r="I32" s="44">
        <f>$D$7*E32*'Vehicle Infos'!$L$10</f>
        <v>94.635170000000002</v>
      </c>
      <c r="J32" s="23"/>
      <c r="K32" s="23"/>
      <c r="L32" s="101" t="s">
        <v>139</v>
      </c>
      <c r="M32" s="48">
        <v>1</v>
      </c>
      <c r="N32" s="47">
        <v>1</v>
      </c>
      <c r="O32" s="46" t="s">
        <v>299</v>
      </c>
      <c r="P32" s="47">
        <v>2</v>
      </c>
      <c r="Q32" s="181"/>
      <c r="R32" s="49">
        <f>$F$7*N32*'Vehicle Infos'!$L$21</f>
        <v>7.6363079999999988</v>
      </c>
      <c r="S32" s="23"/>
      <c r="T32" s="23"/>
      <c r="U32" s="101" t="s">
        <v>141</v>
      </c>
      <c r="V32" s="48">
        <v>3</v>
      </c>
      <c r="W32" s="51">
        <v>3</v>
      </c>
      <c r="X32" s="46" t="s">
        <v>403</v>
      </c>
      <c r="Y32" s="47">
        <v>4</v>
      </c>
      <c r="Z32" s="181"/>
      <c r="AA32" s="49">
        <f>$G$7*W32*'Vehicle Infos'!$L$29</f>
        <v>16.040656000000002</v>
      </c>
      <c r="AB32" s="57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ht="15.75" customHeight="1" x14ac:dyDescent="0.35">
      <c r="A33" s="23"/>
      <c r="B33" s="23"/>
      <c r="C33" s="44" t="s">
        <v>143</v>
      </c>
      <c r="D33" s="45">
        <v>8</v>
      </c>
      <c r="E33" s="45">
        <v>0.5</v>
      </c>
      <c r="F33" s="46" t="s">
        <v>300</v>
      </c>
      <c r="G33" s="47">
        <v>3</v>
      </c>
      <c r="H33" s="181"/>
      <c r="I33" s="44">
        <f>$D$7*E33*'Vehicle Infos'!$L$10</f>
        <v>6.3090113333333333</v>
      </c>
      <c r="J33" s="23"/>
      <c r="K33" s="23"/>
      <c r="L33" s="101" t="s">
        <v>145</v>
      </c>
      <c r="M33" s="48">
        <v>2.5</v>
      </c>
      <c r="N33" s="51">
        <v>1.5</v>
      </c>
      <c r="O33" s="46" t="s">
        <v>185</v>
      </c>
      <c r="P33" s="47">
        <v>5</v>
      </c>
      <c r="Q33" s="181"/>
      <c r="R33" s="49">
        <f>$F$7*N33*'Vehicle Infos'!$L$21</f>
        <v>11.454461999999998</v>
      </c>
      <c r="S33" s="23"/>
      <c r="T33" s="23"/>
      <c r="U33" s="101" t="s">
        <v>146</v>
      </c>
      <c r="V33" s="48">
        <v>5.5</v>
      </c>
      <c r="W33" s="51">
        <v>2.5</v>
      </c>
      <c r="X33" s="46" t="s">
        <v>296</v>
      </c>
      <c r="Y33" s="47">
        <v>6</v>
      </c>
      <c r="Z33" s="181"/>
      <c r="AA33" s="49">
        <f>$G$7*W33*'Vehicle Infos'!$L$29</f>
        <v>13.367213333333334</v>
      </c>
      <c r="AB33" s="57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ht="15.75" customHeight="1" x14ac:dyDescent="0.35">
      <c r="A34" s="23"/>
      <c r="B34" s="23"/>
      <c r="C34" s="44" t="s">
        <v>148</v>
      </c>
      <c r="D34" s="45">
        <v>9</v>
      </c>
      <c r="E34" s="45">
        <v>1</v>
      </c>
      <c r="F34" s="46" t="s">
        <v>407</v>
      </c>
      <c r="G34" s="47">
        <v>4</v>
      </c>
      <c r="H34" s="181"/>
      <c r="I34" s="44">
        <f>$D$7*E34*'Vehicle Infos'!$L$10</f>
        <v>12.618022666666667</v>
      </c>
      <c r="J34" s="23"/>
      <c r="K34" s="23"/>
      <c r="L34" s="101" t="s">
        <v>150</v>
      </c>
      <c r="M34" s="48">
        <v>9</v>
      </c>
      <c r="N34" s="51">
        <v>6.5</v>
      </c>
      <c r="O34" s="46" t="s">
        <v>461</v>
      </c>
      <c r="P34" s="47">
        <v>9</v>
      </c>
      <c r="Q34" s="181"/>
      <c r="R34" s="49">
        <f>$F$7*N34*'Vehicle Infos'!$L$21</f>
        <v>49.636001999999991</v>
      </c>
      <c r="S34" s="23"/>
      <c r="T34" s="23"/>
      <c r="U34" s="101" t="s">
        <v>151</v>
      </c>
      <c r="V34" s="48">
        <v>7.5</v>
      </c>
      <c r="W34" s="51">
        <v>2</v>
      </c>
      <c r="X34" s="46" t="s">
        <v>361</v>
      </c>
      <c r="Y34" s="47">
        <v>10</v>
      </c>
      <c r="Z34" s="181"/>
      <c r="AA34" s="49">
        <f>$G$7*W34*'Vehicle Infos'!$L$29</f>
        <v>10.693770666666667</v>
      </c>
      <c r="AB34" s="57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ht="15.75" customHeight="1" x14ac:dyDescent="0.35">
      <c r="A35" s="23"/>
      <c r="B35" s="23"/>
      <c r="C35" s="44" t="s">
        <v>153</v>
      </c>
      <c r="D35" s="45">
        <v>10</v>
      </c>
      <c r="E35" s="45">
        <v>1</v>
      </c>
      <c r="F35" s="46" t="s">
        <v>411</v>
      </c>
      <c r="G35" s="47">
        <v>4</v>
      </c>
      <c r="H35" s="181"/>
      <c r="I35" s="44">
        <f>$D$7*E35*'Vehicle Infos'!$L$10</f>
        <v>12.618022666666667</v>
      </c>
      <c r="J35" s="23"/>
      <c r="K35" s="23"/>
      <c r="L35" s="101" t="s">
        <v>155</v>
      </c>
      <c r="M35" s="48">
        <v>12</v>
      </c>
      <c r="N35" s="51">
        <v>3</v>
      </c>
      <c r="O35" s="46" t="s">
        <v>361</v>
      </c>
      <c r="P35" s="47">
        <v>4</v>
      </c>
      <c r="Q35" s="181"/>
      <c r="R35" s="49">
        <f>$F$7*N35*'Vehicle Infos'!$L$21</f>
        <v>22.908923999999995</v>
      </c>
      <c r="S35" s="23"/>
      <c r="T35" s="23"/>
      <c r="U35" s="101" t="s">
        <v>156</v>
      </c>
      <c r="V35" s="48">
        <v>12</v>
      </c>
      <c r="W35" s="51">
        <v>4.5</v>
      </c>
      <c r="X35" s="46" t="s">
        <v>201</v>
      </c>
      <c r="Y35" s="47">
        <v>20</v>
      </c>
      <c r="Z35" s="193"/>
      <c r="AA35" s="49">
        <f>$G$7*W35*'Vehicle Infos'!$L$29</f>
        <v>24.060984000000001</v>
      </c>
      <c r="AB35" s="57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ht="15.75" customHeight="1" x14ac:dyDescent="0.35">
      <c r="A36" s="23"/>
      <c r="B36" s="23"/>
      <c r="C36" s="44" t="s">
        <v>158</v>
      </c>
      <c r="D36" s="45">
        <v>11</v>
      </c>
      <c r="E36" s="45">
        <v>1</v>
      </c>
      <c r="F36" s="46" t="s">
        <v>556</v>
      </c>
      <c r="G36" s="47">
        <v>9</v>
      </c>
      <c r="H36" s="181"/>
      <c r="I36" s="44">
        <f>$D$7*E36*'Vehicle Infos'!$L$10</f>
        <v>12.618022666666667</v>
      </c>
      <c r="J36" s="23"/>
      <c r="K36" s="23"/>
      <c r="L36" s="101" t="s">
        <v>160</v>
      </c>
      <c r="M36" s="48">
        <v>15.5</v>
      </c>
      <c r="N36" s="51">
        <v>3.5</v>
      </c>
      <c r="O36" s="46" t="s">
        <v>556</v>
      </c>
      <c r="P36" s="91">
        <v>6</v>
      </c>
      <c r="Q36" s="181"/>
      <c r="R36" s="49">
        <f>$F$7*N36*'Vehicle Infos'!$L$21</f>
        <v>26.727077999999995</v>
      </c>
      <c r="S36" s="23"/>
      <c r="T36" s="23"/>
      <c r="U36" s="102" t="s">
        <v>162</v>
      </c>
      <c r="V36" s="48"/>
      <c r="W36" s="51">
        <f>SUM(W31:W35)</f>
        <v>12</v>
      </c>
      <c r="X36" s="46"/>
      <c r="Y36" s="92">
        <f>SUM(Y31:Y35)</f>
        <v>40</v>
      </c>
      <c r="Z36" s="57"/>
      <c r="AA36" s="49">
        <f>$G$7*W36*'Vehicle Infos'!$L$29</f>
        <v>64.162624000000008</v>
      </c>
      <c r="AB36" s="57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ht="15.75" customHeight="1" x14ac:dyDescent="0.35">
      <c r="A37" s="23"/>
      <c r="B37" s="23"/>
      <c r="C37" s="44" t="s">
        <v>163</v>
      </c>
      <c r="D37" s="45">
        <v>12</v>
      </c>
      <c r="E37" s="45">
        <v>1</v>
      </c>
      <c r="F37" s="46" t="s">
        <v>186</v>
      </c>
      <c r="G37" s="47">
        <v>6</v>
      </c>
      <c r="H37" s="181"/>
      <c r="I37" s="44">
        <f>$D$7*E37*'Vehicle Infos'!$L$10</f>
        <v>12.618022666666667</v>
      </c>
      <c r="J37" s="23"/>
      <c r="K37" s="23"/>
      <c r="L37" s="101" t="s">
        <v>165</v>
      </c>
      <c r="M37" s="48">
        <v>18.5</v>
      </c>
      <c r="N37" s="51">
        <v>3</v>
      </c>
      <c r="O37" s="46" t="s">
        <v>513</v>
      </c>
      <c r="P37" s="47">
        <v>7</v>
      </c>
      <c r="Q37" s="193"/>
      <c r="R37" s="49">
        <f>$F$7*N37*'Vehicle Infos'!$L$21</f>
        <v>22.908923999999995</v>
      </c>
      <c r="S37" s="23"/>
      <c r="T37" s="23"/>
      <c r="U37" s="96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ht="15.75" customHeight="1" x14ac:dyDescent="0.35">
      <c r="A38" s="23"/>
      <c r="B38" s="23"/>
      <c r="C38" s="44" t="s">
        <v>167</v>
      </c>
      <c r="D38" s="45">
        <v>14</v>
      </c>
      <c r="E38" s="45">
        <v>2</v>
      </c>
      <c r="F38" s="46" t="s">
        <v>190</v>
      </c>
      <c r="G38" s="47">
        <v>4</v>
      </c>
      <c r="H38" s="181"/>
      <c r="I38" s="44">
        <f>$D$7*E38*'Vehicle Infos'!$L$10</f>
        <v>25.236045333333333</v>
      </c>
      <c r="J38" s="23"/>
      <c r="K38" s="23"/>
      <c r="L38" s="102" t="s">
        <v>162</v>
      </c>
      <c r="M38" s="49"/>
      <c r="N38" s="45">
        <f>SUM(N31:N37)</f>
        <v>18.5</v>
      </c>
      <c r="O38" s="58"/>
      <c r="P38" s="75">
        <f>SUM(P32:P37)</f>
        <v>33</v>
      </c>
      <c r="Q38" s="57"/>
      <c r="R38" s="49">
        <f>$F$7*N38*'Vehicle Infos'!$L$21</f>
        <v>141.27169799999999</v>
      </c>
      <c r="S38" s="23"/>
      <c r="T38" s="23"/>
      <c r="U38" s="96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ht="15.75" customHeight="1" x14ac:dyDescent="0.35">
      <c r="A39" s="23"/>
      <c r="B39" s="23"/>
      <c r="C39" s="44" t="s">
        <v>169</v>
      </c>
      <c r="D39" s="45">
        <v>14.5</v>
      </c>
      <c r="E39" s="45">
        <v>0.5</v>
      </c>
      <c r="F39" s="46" t="s">
        <v>362</v>
      </c>
      <c r="G39" s="47">
        <v>2</v>
      </c>
      <c r="H39" s="181"/>
      <c r="I39" s="44">
        <f>$D$7*E39*'Vehicle Infos'!$L$10</f>
        <v>6.3090113333333333</v>
      </c>
      <c r="J39" s="23"/>
      <c r="K39" s="23"/>
      <c r="L39" s="96"/>
      <c r="M39" s="23"/>
      <c r="N39" s="23"/>
      <c r="O39" s="23"/>
      <c r="P39" s="23"/>
      <c r="Q39" s="23"/>
      <c r="R39" s="23"/>
      <c r="S39" s="23"/>
      <c r="T39" s="23"/>
      <c r="U39" s="96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ht="15.75" customHeight="1" x14ac:dyDescent="0.35">
      <c r="A40" s="23"/>
      <c r="B40" s="23"/>
      <c r="C40" s="44" t="s">
        <v>171</v>
      </c>
      <c r="D40" s="45">
        <v>15</v>
      </c>
      <c r="E40" s="45">
        <v>0.5</v>
      </c>
      <c r="F40" s="46" t="s">
        <v>302</v>
      </c>
      <c r="G40" s="47">
        <v>1</v>
      </c>
      <c r="H40" s="193"/>
      <c r="I40" s="44">
        <f>$D$7*E40*'Vehicle Infos'!$L$10</f>
        <v>6.3090113333333333</v>
      </c>
      <c r="J40" s="23"/>
      <c r="K40" s="23"/>
      <c r="L40" s="96"/>
      <c r="M40" s="23"/>
      <c r="N40" s="23"/>
      <c r="O40" s="23"/>
      <c r="P40" s="23"/>
      <c r="Q40" s="23"/>
      <c r="R40" s="23"/>
      <c r="S40" s="23"/>
      <c r="T40" s="23"/>
      <c r="U40" s="96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ht="15.75" customHeight="1" x14ac:dyDescent="0.35">
      <c r="A41" s="23"/>
      <c r="B41" s="23"/>
      <c r="C41" s="54" t="s">
        <v>162</v>
      </c>
      <c r="D41" s="49"/>
      <c r="E41" s="76">
        <v>15</v>
      </c>
      <c r="F41" s="58"/>
      <c r="G41" s="75">
        <f>SUM(G32:G40)</f>
        <v>39</v>
      </c>
      <c r="H41" s="47"/>
      <c r="I41" s="44">
        <f>$D$7*E41*'Vehicle Infos'!$L$10</f>
        <v>189.27034</v>
      </c>
      <c r="J41" s="23"/>
      <c r="K41" s="23"/>
      <c r="L41" s="96"/>
      <c r="M41" s="23"/>
      <c r="N41" s="23"/>
      <c r="O41" s="23"/>
      <c r="P41" s="23"/>
      <c r="Q41" s="23"/>
      <c r="R41" s="23"/>
      <c r="S41" s="23"/>
      <c r="T41" s="23"/>
      <c r="U41" s="96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ht="15.7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96"/>
      <c r="M42" s="23"/>
      <c r="N42" s="23"/>
      <c r="O42" s="23"/>
      <c r="P42" s="23"/>
      <c r="Q42" s="23"/>
      <c r="R42" s="23"/>
      <c r="S42" s="23"/>
      <c r="T42" s="23"/>
      <c r="U42" s="96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ht="15.7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96"/>
      <c r="M43" s="23"/>
      <c r="N43" s="23"/>
      <c r="O43" s="23"/>
      <c r="P43" s="23"/>
      <c r="Q43" s="23"/>
      <c r="R43" s="23"/>
      <c r="S43" s="23"/>
      <c r="T43" s="23"/>
      <c r="U43" s="96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ht="15.75" customHeight="1" x14ac:dyDescent="0.35">
      <c r="A44" s="23"/>
      <c r="B44" s="23"/>
      <c r="C44" s="32" t="s">
        <v>557</v>
      </c>
      <c r="D44" s="69"/>
      <c r="E44" s="69"/>
      <c r="F44" s="69"/>
      <c r="G44" s="69"/>
      <c r="H44" s="69"/>
      <c r="I44" s="69"/>
      <c r="J44" s="23"/>
      <c r="K44" s="23"/>
      <c r="L44" s="97" t="s">
        <v>557</v>
      </c>
      <c r="M44" s="33"/>
      <c r="N44" s="33"/>
      <c r="O44" s="33"/>
      <c r="P44" s="33"/>
      <c r="Q44" s="33"/>
      <c r="R44" s="33"/>
      <c r="S44" s="23"/>
      <c r="T44" s="23"/>
      <c r="U44" s="97" t="s">
        <v>557</v>
      </c>
      <c r="V44" s="33"/>
      <c r="W44" s="33"/>
      <c r="X44" s="33"/>
      <c r="Y44" s="33"/>
      <c r="Z44" s="33"/>
      <c r="AA44" s="33"/>
      <c r="AB44" s="3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ht="81.75" customHeight="1" x14ac:dyDescent="0.3">
      <c r="A45" s="23"/>
      <c r="B45" s="23"/>
      <c r="C45" s="37" t="s">
        <v>176</v>
      </c>
      <c r="D45" s="38" t="s">
        <v>122</v>
      </c>
      <c r="E45" s="38" t="s">
        <v>129</v>
      </c>
      <c r="F45" s="38" t="s">
        <v>130</v>
      </c>
      <c r="G45" s="38" t="s">
        <v>131</v>
      </c>
      <c r="H45" s="39" t="s">
        <v>126</v>
      </c>
      <c r="I45" s="40" t="s">
        <v>127</v>
      </c>
      <c r="J45" s="23"/>
      <c r="K45" s="23"/>
      <c r="L45" s="43" t="s">
        <v>177</v>
      </c>
      <c r="M45" s="38" t="s">
        <v>122</v>
      </c>
      <c r="N45" s="38" t="s">
        <v>129</v>
      </c>
      <c r="O45" s="38" t="s">
        <v>130</v>
      </c>
      <c r="P45" s="38" t="s">
        <v>131</v>
      </c>
      <c r="Q45" s="39" t="s">
        <v>126</v>
      </c>
      <c r="R45" s="40" t="s">
        <v>127</v>
      </c>
      <c r="S45" s="23"/>
      <c r="T45" s="23"/>
      <c r="U45" s="43" t="s">
        <v>178</v>
      </c>
      <c r="V45" s="38" t="s">
        <v>122</v>
      </c>
      <c r="W45" s="38" t="s">
        <v>129</v>
      </c>
      <c r="X45" s="38" t="s">
        <v>130</v>
      </c>
      <c r="Y45" s="38" t="s">
        <v>131</v>
      </c>
      <c r="Z45" s="39" t="s">
        <v>126</v>
      </c>
      <c r="AA45" s="40" t="s">
        <v>127</v>
      </c>
      <c r="AB45" s="118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ht="15.75" customHeight="1" x14ac:dyDescent="0.35">
      <c r="A46" s="23"/>
      <c r="B46" s="23"/>
      <c r="C46" s="44" t="s">
        <v>133</v>
      </c>
      <c r="D46" s="45">
        <v>0</v>
      </c>
      <c r="E46" s="45">
        <v>0</v>
      </c>
      <c r="F46" s="46" t="s">
        <v>214</v>
      </c>
      <c r="G46" s="47"/>
      <c r="H46" s="194">
        <f>D8*D3*'Vehicle Infos'!K10</f>
        <v>397.5</v>
      </c>
      <c r="I46" s="44">
        <f>$D$8*E46*'Vehicle Infos'!$L$10</f>
        <v>0</v>
      </c>
      <c r="J46" s="23"/>
      <c r="K46" s="23"/>
      <c r="L46" s="101" t="s">
        <v>135</v>
      </c>
      <c r="M46" s="48">
        <v>0</v>
      </c>
      <c r="N46" s="47">
        <v>0</v>
      </c>
      <c r="O46" s="46" t="s">
        <v>215</v>
      </c>
      <c r="P46" s="47"/>
      <c r="Q46" s="194">
        <f>F8*F3*'Vehicle Infos'!K21</f>
        <v>543.88619999999992</v>
      </c>
      <c r="R46" s="49">
        <f>$F$8*N46*'Vehicle Infos'!$L$21</f>
        <v>0</v>
      </c>
      <c r="S46" s="23"/>
      <c r="T46" s="23"/>
      <c r="U46" s="101" t="s">
        <v>136</v>
      </c>
      <c r="V46" s="48">
        <v>0</v>
      </c>
      <c r="W46" s="47">
        <v>0</v>
      </c>
      <c r="X46" s="46" t="s">
        <v>308</v>
      </c>
      <c r="Y46" s="47">
        <v>0</v>
      </c>
      <c r="Z46" s="194">
        <f>G8*G3*'Vehicle Infos'!K29</f>
        <v>245.51999999999998</v>
      </c>
      <c r="AA46" s="49">
        <f>$G$8*W46*'Vehicle Infos'!$L$29</f>
        <v>0</v>
      </c>
      <c r="AB46" s="44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ht="15.75" customHeight="1" x14ac:dyDescent="0.35">
      <c r="A47" s="23"/>
      <c r="B47" s="23"/>
      <c r="C47" s="44" t="s">
        <v>137</v>
      </c>
      <c r="D47" s="45">
        <v>7.5</v>
      </c>
      <c r="E47" s="45">
        <v>7.5</v>
      </c>
      <c r="F47" s="46" t="s">
        <v>217</v>
      </c>
      <c r="G47" s="47">
        <v>7</v>
      </c>
      <c r="H47" s="181"/>
      <c r="I47" s="44">
        <f>$D$8*E47*'Vehicle Infos'!$L$10</f>
        <v>96.566500000000005</v>
      </c>
      <c r="J47" s="23"/>
      <c r="K47" s="23"/>
      <c r="L47" s="101" t="s">
        <v>139</v>
      </c>
      <c r="M47" s="48">
        <v>1</v>
      </c>
      <c r="N47" s="47">
        <v>1</v>
      </c>
      <c r="O47" s="46" t="s">
        <v>218</v>
      </c>
      <c r="P47" s="47">
        <v>2</v>
      </c>
      <c r="Q47" s="181"/>
      <c r="R47" s="49">
        <f>$F$8*N47*'Vehicle Infos'!$L$21</f>
        <v>9.4544765714285699</v>
      </c>
      <c r="S47" s="23"/>
      <c r="T47" s="23"/>
      <c r="U47" s="101" t="s">
        <v>141</v>
      </c>
      <c r="V47" s="48">
        <v>3</v>
      </c>
      <c r="W47" s="51">
        <v>3</v>
      </c>
      <c r="X47" s="46" t="s">
        <v>558</v>
      </c>
      <c r="Y47" s="47">
        <v>4</v>
      </c>
      <c r="Z47" s="181"/>
      <c r="AA47" s="49">
        <f>$G$8*W47*'Vehicle Infos'!$L$29</f>
        <v>15.539385500000002</v>
      </c>
      <c r="AB47" s="57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ht="15.75" customHeight="1" x14ac:dyDescent="0.35">
      <c r="A48" s="23"/>
      <c r="B48" s="23"/>
      <c r="C48" s="44" t="s">
        <v>143</v>
      </c>
      <c r="D48" s="45">
        <v>8</v>
      </c>
      <c r="E48" s="45">
        <v>0.5</v>
      </c>
      <c r="F48" s="46" t="s">
        <v>220</v>
      </c>
      <c r="G48" s="47">
        <v>2</v>
      </c>
      <c r="H48" s="181"/>
      <c r="I48" s="44">
        <f>$D$8*E48*'Vehicle Infos'!$L$10</f>
        <v>6.4377666666666666</v>
      </c>
      <c r="J48" s="23"/>
      <c r="K48" s="23"/>
      <c r="L48" s="101" t="s">
        <v>145</v>
      </c>
      <c r="M48" s="48">
        <v>2.5</v>
      </c>
      <c r="N48" s="51">
        <v>1.5</v>
      </c>
      <c r="O48" s="46" t="s">
        <v>559</v>
      </c>
      <c r="P48" s="47">
        <v>5</v>
      </c>
      <c r="Q48" s="181"/>
      <c r="R48" s="49">
        <f>$F$8*N48*'Vehicle Infos'!$L$21</f>
        <v>14.181714857142854</v>
      </c>
      <c r="S48" s="23"/>
      <c r="T48" s="23"/>
      <c r="U48" s="101" t="s">
        <v>146</v>
      </c>
      <c r="V48" s="48">
        <v>5.5</v>
      </c>
      <c r="W48" s="51">
        <v>2.5</v>
      </c>
      <c r="X48" s="46" t="s">
        <v>420</v>
      </c>
      <c r="Y48" s="47">
        <v>5</v>
      </c>
      <c r="Z48" s="181"/>
      <c r="AA48" s="49">
        <f>$G$8*W48*'Vehicle Infos'!$L$29</f>
        <v>12.949487916666667</v>
      </c>
      <c r="AB48" s="57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ht="15.75" customHeight="1" x14ac:dyDescent="0.35">
      <c r="A49" s="23"/>
      <c r="B49" s="23"/>
      <c r="C49" s="44" t="s">
        <v>148</v>
      </c>
      <c r="D49" s="45">
        <v>9</v>
      </c>
      <c r="E49" s="45">
        <v>1</v>
      </c>
      <c r="F49" s="46" t="s">
        <v>311</v>
      </c>
      <c r="G49" s="47">
        <v>3</v>
      </c>
      <c r="H49" s="181"/>
      <c r="I49" s="44">
        <f>$D$8*E49*'Vehicle Infos'!$L$10</f>
        <v>12.875533333333333</v>
      </c>
      <c r="J49" s="23"/>
      <c r="K49" s="23"/>
      <c r="L49" s="101" t="s">
        <v>150</v>
      </c>
      <c r="M49" s="48">
        <v>9</v>
      </c>
      <c r="N49" s="51">
        <v>6.5</v>
      </c>
      <c r="O49" s="46" t="s">
        <v>312</v>
      </c>
      <c r="P49" s="47">
        <v>9</v>
      </c>
      <c r="Q49" s="181"/>
      <c r="R49" s="49">
        <f>$F$8*N49*'Vehicle Infos'!$L$21</f>
        <v>61.454097714285702</v>
      </c>
      <c r="S49" s="23"/>
      <c r="T49" s="23"/>
      <c r="U49" s="101" t="s">
        <v>151</v>
      </c>
      <c r="V49" s="48">
        <v>7.5</v>
      </c>
      <c r="W49" s="51">
        <v>2</v>
      </c>
      <c r="X49" s="46" t="s">
        <v>418</v>
      </c>
      <c r="Y49" s="47">
        <v>8</v>
      </c>
      <c r="Z49" s="181"/>
      <c r="AA49" s="49">
        <f>$G$8*W49*'Vehicle Infos'!$L$29</f>
        <v>10.359590333333333</v>
      </c>
      <c r="AB49" s="57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ht="15.75" customHeight="1" x14ac:dyDescent="0.35">
      <c r="A50" s="23"/>
      <c r="B50" s="23"/>
      <c r="C50" s="44" t="s">
        <v>153</v>
      </c>
      <c r="D50" s="45">
        <v>10</v>
      </c>
      <c r="E50" s="45">
        <v>1</v>
      </c>
      <c r="F50" s="46" t="s">
        <v>314</v>
      </c>
      <c r="G50" s="47">
        <v>3</v>
      </c>
      <c r="H50" s="181"/>
      <c r="I50" s="44">
        <f>$D$8*E50*'Vehicle Infos'!$L$10</f>
        <v>12.875533333333333</v>
      </c>
      <c r="J50" s="23"/>
      <c r="K50" s="23"/>
      <c r="L50" s="101" t="s">
        <v>155</v>
      </c>
      <c r="M50" s="48">
        <v>12</v>
      </c>
      <c r="N50" s="51">
        <v>3</v>
      </c>
      <c r="O50" s="46" t="s">
        <v>560</v>
      </c>
      <c r="P50" s="47">
        <v>4</v>
      </c>
      <c r="Q50" s="181"/>
      <c r="R50" s="49">
        <f>$F$8*N50*'Vehicle Infos'!$L$21</f>
        <v>28.363429714285708</v>
      </c>
      <c r="S50" s="23"/>
      <c r="T50" s="23"/>
      <c r="U50" s="101" t="s">
        <v>156</v>
      </c>
      <c r="V50" s="48">
        <v>12</v>
      </c>
      <c r="W50" s="51">
        <v>4.5</v>
      </c>
      <c r="X50" s="46" t="s">
        <v>429</v>
      </c>
      <c r="Y50" s="47">
        <v>14</v>
      </c>
      <c r="Z50" s="193"/>
      <c r="AA50" s="49">
        <f>$G$8*W50*'Vehicle Infos'!$L$29</f>
        <v>23.309078250000002</v>
      </c>
      <c r="AB50" s="57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ht="15.75" customHeight="1" x14ac:dyDescent="0.35">
      <c r="A51" s="23"/>
      <c r="B51" s="23"/>
      <c r="C51" s="44" t="s">
        <v>158</v>
      </c>
      <c r="D51" s="45">
        <v>11</v>
      </c>
      <c r="E51" s="45">
        <v>1</v>
      </c>
      <c r="F51" s="46" t="s">
        <v>561</v>
      </c>
      <c r="G51" s="47">
        <v>6</v>
      </c>
      <c r="H51" s="181"/>
      <c r="I51" s="44">
        <f>$D$8*E51*'Vehicle Infos'!$L$10</f>
        <v>12.875533333333333</v>
      </c>
      <c r="J51" s="23"/>
      <c r="K51" s="23"/>
      <c r="L51" s="101" t="s">
        <v>160</v>
      </c>
      <c r="M51" s="48">
        <v>15.5</v>
      </c>
      <c r="N51" s="51">
        <v>3.5</v>
      </c>
      <c r="O51" s="46" t="s">
        <v>562</v>
      </c>
      <c r="P51" s="91">
        <v>5</v>
      </c>
      <c r="Q51" s="181"/>
      <c r="R51" s="49">
        <f>$F$8*N51*'Vehicle Infos'!$L$21</f>
        <v>33.090667999999994</v>
      </c>
      <c r="S51" s="23"/>
      <c r="T51" s="23"/>
      <c r="U51" s="102" t="s">
        <v>162</v>
      </c>
      <c r="V51" s="48"/>
      <c r="W51" s="51">
        <f>SUM(W46:W50)</f>
        <v>12</v>
      </c>
      <c r="X51" s="46"/>
      <c r="Y51" s="92">
        <f>SUM(Y46:Y50)</f>
        <v>31</v>
      </c>
      <c r="Z51" s="57"/>
      <c r="AA51" s="49">
        <f>$G$8*W51*'Vehicle Infos'!$L$29</f>
        <v>62.157542000000007</v>
      </c>
      <c r="AB51" s="57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ht="15.75" customHeight="1" x14ac:dyDescent="0.35">
      <c r="A52" s="23"/>
      <c r="B52" s="23"/>
      <c r="C52" s="44" t="s">
        <v>163</v>
      </c>
      <c r="D52" s="45">
        <v>12</v>
      </c>
      <c r="E52" s="45">
        <v>1</v>
      </c>
      <c r="F52" s="46" t="s">
        <v>478</v>
      </c>
      <c r="G52" s="47">
        <v>4</v>
      </c>
      <c r="H52" s="181"/>
      <c r="I52" s="44">
        <f>$D$8*E52*'Vehicle Infos'!$L$10</f>
        <v>12.875533333333333</v>
      </c>
      <c r="J52" s="23"/>
      <c r="K52" s="23"/>
      <c r="L52" s="101" t="s">
        <v>165</v>
      </c>
      <c r="M52" s="48">
        <v>18.5</v>
      </c>
      <c r="N52" s="51">
        <v>3</v>
      </c>
      <c r="O52" s="46" t="s">
        <v>317</v>
      </c>
      <c r="P52" s="47">
        <v>6</v>
      </c>
      <c r="Q52" s="193"/>
      <c r="R52" s="49">
        <f>$F$8*N52*'Vehicle Infos'!$L$21</f>
        <v>28.363429714285708</v>
      </c>
      <c r="S52" s="23"/>
      <c r="T52" s="23"/>
      <c r="U52" s="96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ht="15.75" customHeight="1" x14ac:dyDescent="0.35">
      <c r="A53" s="23"/>
      <c r="B53" s="23"/>
      <c r="C53" s="44" t="s">
        <v>167</v>
      </c>
      <c r="D53" s="45">
        <v>14</v>
      </c>
      <c r="E53" s="45">
        <v>2</v>
      </c>
      <c r="F53" s="46" t="s">
        <v>563</v>
      </c>
      <c r="G53" s="47">
        <v>2</v>
      </c>
      <c r="H53" s="181"/>
      <c r="I53" s="44">
        <f>$D$8*E53*'Vehicle Infos'!$L$10</f>
        <v>25.751066666666667</v>
      </c>
      <c r="J53" s="23"/>
      <c r="K53" s="23"/>
      <c r="L53" s="102" t="s">
        <v>162</v>
      </c>
      <c r="M53" s="49"/>
      <c r="N53" s="45">
        <f>SUM(N46:N52)</f>
        <v>18.5</v>
      </c>
      <c r="O53" s="58"/>
      <c r="P53" s="75">
        <f>SUM(P47:P52)</f>
        <v>31</v>
      </c>
      <c r="Q53" s="57"/>
      <c r="R53" s="49">
        <f>$F$8*N53*'Vehicle Infos'!$L$21</f>
        <v>174.90781657142855</v>
      </c>
      <c r="S53" s="23"/>
      <c r="T53" s="23"/>
      <c r="U53" s="96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ht="15.75" customHeight="1" x14ac:dyDescent="0.35">
      <c r="A54" s="23"/>
      <c r="B54" s="23"/>
      <c r="C54" s="44" t="s">
        <v>169</v>
      </c>
      <c r="D54" s="45">
        <v>14.5</v>
      </c>
      <c r="E54" s="45">
        <v>0.5</v>
      </c>
      <c r="F54" s="46" t="s">
        <v>564</v>
      </c>
      <c r="G54" s="47">
        <v>2</v>
      </c>
      <c r="H54" s="181"/>
      <c r="I54" s="44">
        <f>$D$8*E54*'Vehicle Infos'!$L$10</f>
        <v>6.4377666666666666</v>
      </c>
      <c r="J54" s="23"/>
      <c r="K54" s="23"/>
      <c r="L54" s="96"/>
      <c r="M54" s="23"/>
      <c r="N54" s="23"/>
      <c r="O54" s="23"/>
      <c r="P54" s="23"/>
      <c r="Q54" s="23"/>
      <c r="R54" s="23"/>
      <c r="S54" s="23"/>
      <c r="T54" s="23"/>
      <c r="U54" s="96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ht="15.75" customHeight="1" x14ac:dyDescent="0.35">
      <c r="A55" s="23"/>
      <c r="B55" s="23"/>
      <c r="C55" s="44" t="s">
        <v>171</v>
      </c>
      <c r="D55" s="45">
        <v>15</v>
      </c>
      <c r="E55" s="45">
        <v>0.5</v>
      </c>
      <c r="F55" s="46" t="s">
        <v>479</v>
      </c>
      <c r="G55" s="47">
        <v>1</v>
      </c>
      <c r="H55" s="193"/>
      <c r="I55" s="44">
        <f>$D$8*E55*'Vehicle Infos'!$L$10</f>
        <v>6.4377666666666666</v>
      </c>
      <c r="J55" s="23"/>
      <c r="K55" s="23"/>
      <c r="L55" s="96"/>
      <c r="M55" s="23"/>
      <c r="N55" s="23"/>
      <c r="O55" s="23"/>
      <c r="P55" s="23"/>
      <c r="Q55" s="23"/>
      <c r="R55" s="23"/>
      <c r="S55" s="23"/>
      <c r="T55" s="23"/>
      <c r="U55" s="96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ht="15.75" customHeight="1" x14ac:dyDescent="0.35">
      <c r="A56" s="23"/>
      <c r="B56" s="23"/>
      <c r="C56" s="54" t="s">
        <v>162</v>
      </c>
      <c r="D56" s="49"/>
      <c r="E56" s="76">
        <v>15</v>
      </c>
      <c r="F56" s="58"/>
      <c r="G56" s="75">
        <f>SUM(G47:G55)</f>
        <v>30</v>
      </c>
      <c r="H56" s="47"/>
      <c r="I56" s="44">
        <f>$D$8*E56*'Vehicle Infos'!$L$10</f>
        <v>193.13300000000001</v>
      </c>
      <c r="J56" s="23"/>
      <c r="K56" s="23"/>
      <c r="L56" s="96"/>
      <c r="M56" s="23"/>
      <c r="N56" s="23"/>
      <c r="O56" s="23"/>
      <c r="P56" s="23"/>
      <c r="Q56" s="23"/>
      <c r="R56" s="23"/>
      <c r="S56" s="23"/>
      <c r="T56" s="23"/>
      <c r="U56" s="96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ht="15.7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96"/>
      <c r="M57" s="23"/>
      <c r="N57" s="23"/>
      <c r="O57" s="23"/>
      <c r="P57" s="23"/>
      <c r="Q57" s="23"/>
      <c r="R57" s="23"/>
      <c r="S57" s="23"/>
      <c r="T57" s="23"/>
      <c r="U57" s="96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ht="15.7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96"/>
      <c r="M58" s="23"/>
      <c r="N58" s="23"/>
      <c r="O58" s="23"/>
      <c r="P58" s="23"/>
      <c r="Q58" s="23"/>
      <c r="R58" s="23"/>
      <c r="S58" s="23"/>
      <c r="T58" s="23"/>
      <c r="U58" s="96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ht="22.5" customHeight="1" x14ac:dyDescent="0.35">
      <c r="A59" s="23"/>
      <c r="B59" s="23"/>
      <c r="C59" s="32" t="s">
        <v>565</v>
      </c>
      <c r="D59" s="69"/>
      <c r="E59" s="69"/>
      <c r="F59" s="69"/>
      <c r="G59" s="69"/>
      <c r="H59" s="69"/>
      <c r="I59" s="69"/>
      <c r="J59" s="23"/>
      <c r="K59" s="23"/>
      <c r="L59" s="97" t="s">
        <v>565</v>
      </c>
      <c r="M59" s="33"/>
      <c r="N59" s="33"/>
      <c r="O59" s="33"/>
      <c r="P59" s="33"/>
      <c r="Q59" s="33"/>
      <c r="R59" s="33"/>
      <c r="S59" s="23"/>
      <c r="T59" s="23"/>
      <c r="U59" s="97" t="s">
        <v>565</v>
      </c>
      <c r="V59" s="33"/>
      <c r="W59" s="33"/>
      <c r="X59" s="33"/>
      <c r="Y59" s="33"/>
      <c r="Z59" s="33"/>
      <c r="AA59" s="33"/>
      <c r="AB59" s="3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ht="63" customHeight="1" x14ac:dyDescent="0.3">
      <c r="A60" s="23"/>
      <c r="B60" s="23"/>
      <c r="C60" s="37" t="s">
        <v>176</v>
      </c>
      <c r="D60" s="38" t="s">
        <v>122</v>
      </c>
      <c r="E60" s="38" t="s">
        <v>129</v>
      </c>
      <c r="F60" s="38" t="s">
        <v>130</v>
      </c>
      <c r="G60" s="38" t="s">
        <v>131</v>
      </c>
      <c r="H60" s="39" t="s">
        <v>126</v>
      </c>
      <c r="I60" s="40" t="s">
        <v>127</v>
      </c>
      <c r="J60" s="23"/>
      <c r="K60" s="23"/>
      <c r="L60" s="43" t="s">
        <v>177</v>
      </c>
      <c r="M60" s="38" t="s">
        <v>122</v>
      </c>
      <c r="N60" s="38" t="s">
        <v>129</v>
      </c>
      <c r="O60" s="38" t="s">
        <v>130</v>
      </c>
      <c r="P60" s="38" t="s">
        <v>131</v>
      </c>
      <c r="Q60" s="39" t="s">
        <v>126</v>
      </c>
      <c r="R60" s="40" t="s">
        <v>127</v>
      </c>
      <c r="S60" s="23"/>
      <c r="T60" s="23"/>
      <c r="U60" s="43" t="s">
        <v>178</v>
      </c>
      <c r="V60" s="38" t="s">
        <v>122</v>
      </c>
      <c r="W60" s="38" t="s">
        <v>129</v>
      </c>
      <c r="X60" s="38" t="s">
        <v>130</v>
      </c>
      <c r="Y60" s="38" t="s">
        <v>131</v>
      </c>
      <c r="Z60" s="39" t="s">
        <v>126</v>
      </c>
      <c r="AA60" s="40" t="s">
        <v>127</v>
      </c>
      <c r="AB60" s="118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ht="15.75" customHeight="1" x14ac:dyDescent="0.35">
      <c r="A61" s="23"/>
      <c r="B61" s="23"/>
      <c r="C61" s="44" t="s">
        <v>133</v>
      </c>
      <c r="D61" s="45">
        <v>0</v>
      </c>
      <c r="E61" s="45">
        <v>0</v>
      </c>
      <c r="F61" s="46" t="s">
        <v>238</v>
      </c>
      <c r="G61" s="47"/>
      <c r="H61" s="194">
        <f>D9*D3*'Vehicle Infos'!K10</f>
        <v>349.8</v>
      </c>
      <c r="I61" s="44">
        <f>$D$9*E61*'Vehicle Infos'!$L$10</f>
        <v>0</v>
      </c>
      <c r="J61" s="23"/>
      <c r="K61" s="23"/>
      <c r="L61" s="101" t="s">
        <v>135</v>
      </c>
      <c r="M61" s="48">
        <v>0</v>
      </c>
      <c r="N61" s="47">
        <v>0</v>
      </c>
      <c r="O61" s="46" t="s">
        <v>249</v>
      </c>
      <c r="P61" s="47"/>
      <c r="Q61" s="194">
        <f>F9*F3*'Vehicle Infos'!K21</f>
        <v>376.53659999999996</v>
      </c>
      <c r="R61" s="49">
        <f>$F$9*N61*'Vehicle Infos'!$L$21</f>
        <v>0</v>
      </c>
      <c r="S61" s="23"/>
      <c r="T61" s="23"/>
      <c r="U61" s="101" t="s">
        <v>136</v>
      </c>
      <c r="V61" s="48">
        <v>0</v>
      </c>
      <c r="W61" s="47">
        <v>0</v>
      </c>
      <c r="X61" s="46" t="s">
        <v>249</v>
      </c>
      <c r="Y61" s="47">
        <v>0</v>
      </c>
      <c r="Z61" s="194">
        <f>G9*G3*'Vehicle Infos'!K29</f>
        <v>197.99999999999997</v>
      </c>
      <c r="AA61" s="49">
        <f>$G$9*W61*'Vehicle Infos'!$L$29</f>
        <v>0</v>
      </c>
      <c r="AB61" s="44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ht="15.75" customHeight="1" x14ac:dyDescent="0.35">
      <c r="A62" s="23"/>
      <c r="B62" s="23"/>
      <c r="C62" s="44" t="s">
        <v>137</v>
      </c>
      <c r="D62" s="45">
        <v>7.5</v>
      </c>
      <c r="E62" s="45">
        <v>7.5</v>
      </c>
      <c r="F62" s="46" t="s">
        <v>239</v>
      </c>
      <c r="G62" s="47">
        <v>7</v>
      </c>
      <c r="H62" s="181"/>
      <c r="I62" s="44">
        <f>$D$9*E62*'Vehicle Infos'!$L$10</f>
        <v>84.978520000000003</v>
      </c>
      <c r="J62" s="23"/>
      <c r="K62" s="23"/>
      <c r="L62" s="101" t="s">
        <v>139</v>
      </c>
      <c r="M62" s="48">
        <v>1</v>
      </c>
      <c r="N62" s="47">
        <v>1</v>
      </c>
      <c r="O62" s="46" t="s">
        <v>328</v>
      </c>
      <c r="P62" s="47">
        <v>2</v>
      </c>
      <c r="Q62" s="181"/>
      <c r="R62" s="49">
        <f>$F$9*N62*'Vehicle Infos'!$L$21</f>
        <v>6.5454068571428561</v>
      </c>
      <c r="S62" s="23"/>
      <c r="T62" s="23"/>
      <c r="U62" s="101" t="s">
        <v>141</v>
      </c>
      <c r="V62" s="48">
        <v>3</v>
      </c>
      <c r="W62" s="51">
        <v>3</v>
      </c>
      <c r="X62" s="46" t="s">
        <v>566</v>
      </c>
      <c r="Y62" s="47">
        <v>4</v>
      </c>
      <c r="Z62" s="181"/>
      <c r="AA62" s="49">
        <f>$G$9*W62*'Vehicle Infos'!$L$29</f>
        <v>12.531762500000001</v>
      </c>
      <c r="AB62" s="57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ht="15.75" customHeight="1" x14ac:dyDescent="0.35">
      <c r="A63" s="23"/>
      <c r="B63" s="23"/>
      <c r="C63" s="44" t="s">
        <v>143</v>
      </c>
      <c r="D63" s="45">
        <v>8</v>
      </c>
      <c r="E63" s="45">
        <v>0.5</v>
      </c>
      <c r="F63" s="46" t="s">
        <v>481</v>
      </c>
      <c r="G63" s="47">
        <v>2</v>
      </c>
      <c r="H63" s="181"/>
      <c r="I63" s="44">
        <f>$D$9*E63*'Vehicle Infos'!$L$10</f>
        <v>5.6652346666666666</v>
      </c>
      <c r="J63" s="23"/>
      <c r="K63" s="23"/>
      <c r="L63" s="101" t="s">
        <v>145</v>
      </c>
      <c r="M63" s="48">
        <v>2.5</v>
      </c>
      <c r="N63" s="51">
        <v>1.5</v>
      </c>
      <c r="O63" s="46" t="s">
        <v>378</v>
      </c>
      <c r="P63" s="47">
        <v>5</v>
      </c>
      <c r="Q63" s="181"/>
      <c r="R63" s="49">
        <f>$F$9*N63*'Vehicle Infos'!$L$21</f>
        <v>9.8181102857142832</v>
      </c>
      <c r="S63" s="23"/>
      <c r="T63" s="23"/>
      <c r="U63" s="101" t="s">
        <v>146</v>
      </c>
      <c r="V63" s="48">
        <v>5.5</v>
      </c>
      <c r="W63" s="51">
        <v>2.5</v>
      </c>
      <c r="X63" s="46" t="s">
        <v>383</v>
      </c>
      <c r="Y63" s="47">
        <v>6</v>
      </c>
      <c r="Z63" s="181"/>
      <c r="AA63" s="49">
        <f>$G$9*W63*'Vehicle Infos'!$L$29</f>
        <v>10.443135416666667</v>
      </c>
      <c r="AB63" s="57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ht="15.75" customHeight="1" x14ac:dyDescent="0.35">
      <c r="A64" s="23"/>
      <c r="B64" s="23"/>
      <c r="C64" s="44" t="s">
        <v>148</v>
      </c>
      <c r="D64" s="45">
        <v>9</v>
      </c>
      <c r="E64" s="45">
        <v>1</v>
      </c>
      <c r="F64" s="46" t="s">
        <v>567</v>
      </c>
      <c r="G64" s="47">
        <v>2</v>
      </c>
      <c r="H64" s="181"/>
      <c r="I64" s="44">
        <f>$D$9*E64*'Vehicle Infos'!$L$10</f>
        <v>11.330469333333333</v>
      </c>
      <c r="J64" s="23"/>
      <c r="K64" s="23"/>
      <c r="L64" s="101" t="s">
        <v>150</v>
      </c>
      <c r="M64" s="48">
        <v>9</v>
      </c>
      <c r="N64" s="51">
        <v>6.5</v>
      </c>
      <c r="O64" s="46" t="s">
        <v>384</v>
      </c>
      <c r="P64" s="47">
        <v>9</v>
      </c>
      <c r="Q64" s="181"/>
      <c r="R64" s="49">
        <f>$F$9*N64*'Vehicle Infos'!$L$21</f>
        <v>42.545144571428565</v>
      </c>
      <c r="S64" s="23"/>
      <c r="T64" s="23"/>
      <c r="U64" s="101" t="s">
        <v>151</v>
      </c>
      <c r="V64" s="48">
        <v>7.5</v>
      </c>
      <c r="W64" s="51">
        <v>2</v>
      </c>
      <c r="X64" s="46" t="s">
        <v>568</v>
      </c>
      <c r="Y64" s="47">
        <v>8</v>
      </c>
      <c r="Z64" s="181"/>
      <c r="AA64" s="49">
        <f>$G$9*W64*'Vehicle Infos'!$L$29</f>
        <v>8.3545083333333334</v>
      </c>
      <c r="AB64" s="57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ht="15.75" customHeight="1" x14ac:dyDescent="0.35">
      <c r="A65" s="23"/>
      <c r="B65" s="23"/>
      <c r="C65" s="44" t="s">
        <v>153</v>
      </c>
      <c r="D65" s="45">
        <v>10</v>
      </c>
      <c r="E65" s="45">
        <v>1</v>
      </c>
      <c r="F65" s="46" t="s">
        <v>530</v>
      </c>
      <c r="G65" s="47">
        <v>3</v>
      </c>
      <c r="H65" s="181"/>
      <c r="I65" s="44">
        <f>$D$9*E65*'Vehicle Infos'!$L$10</f>
        <v>11.330469333333333</v>
      </c>
      <c r="J65" s="23"/>
      <c r="K65" s="23"/>
      <c r="L65" s="101" t="s">
        <v>155</v>
      </c>
      <c r="M65" s="48">
        <v>12</v>
      </c>
      <c r="N65" s="51">
        <v>3</v>
      </c>
      <c r="O65" s="46" t="s">
        <v>569</v>
      </c>
      <c r="P65" s="47">
        <v>4</v>
      </c>
      <c r="Q65" s="181"/>
      <c r="R65" s="49">
        <f>$F$9*N65*'Vehicle Infos'!$L$21</f>
        <v>19.636220571428566</v>
      </c>
      <c r="S65" s="23"/>
      <c r="T65" s="23"/>
      <c r="U65" s="101" t="s">
        <v>156</v>
      </c>
      <c r="V65" s="48">
        <v>12</v>
      </c>
      <c r="W65" s="51">
        <v>4.5</v>
      </c>
      <c r="X65" s="46" t="s">
        <v>253</v>
      </c>
      <c r="Y65" s="47">
        <v>12</v>
      </c>
      <c r="Z65" s="193"/>
      <c r="AA65" s="49">
        <f>$G$9*W65*'Vehicle Infos'!$L$29</f>
        <v>18.797643750000002</v>
      </c>
      <c r="AB65" s="57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ht="15.75" customHeight="1" x14ac:dyDescent="0.35">
      <c r="A66" s="23"/>
      <c r="B66" s="23"/>
      <c r="C66" s="44" t="s">
        <v>158</v>
      </c>
      <c r="D66" s="45">
        <v>11</v>
      </c>
      <c r="E66" s="45">
        <v>1</v>
      </c>
      <c r="F66" s="46" t="s">
        <v>326</v>
      </c>
      <c r="G66" s="47">
        <v>10</v>
      </c>
      <c r="H66" s="181"/>
      <c r="I66" s="44">
        <f>$D$9*E66*'Vehicle Infos'!$L$10</f>
        <v>11.330469333333333</v>
      </c>
      <c r="J66" s="23"/>
      <c r="K66" s="23"/>
      <c r="L66" s="101" t="s">
        <v>160</v>
      </c>
      <c r="M66" s="48">
        <v>15.5</v>
      </c>
      <c r="N66" s="51">
        <v>3.5</v>
      </c>
      <c r="O66" s="46" t="s">
        <v>386</v>
      </c>
      <c r="P66" s="91">
        <v>5</v>
      </c>
      <c r="Q66" s="181"/>
      <c r="R66" s="49">
        <f>$F$9*N66*'Vehicle Infos'!$L$21</f>
        <v>22.908923999999995</v>
      </c>
      <c r="S66" s="23"/>
      <c r="T66" s="23"/>
      <c r="U66" s="102" t="s">
        <v>162</v>
      </c>
      <c r="V66" s="48"/>
      <c r="W66" s="51">
        <f>SUM(W61:W65)</f>
        <v>12</v>
      </c>
      <c r="X66" s="46"/>
      <c r="Y66" s="92">
        <f>SUM(Y61:Y65)</f>
        <v>30</v>
      </c>
      <c r="Z66" s="57"/>
      <c r="AA66" s="49">
        <f>$G$9*W66*'Vehicle Infos'!$L$29</f>
        <v>50.127050000000004</v>
      </c>
      <c r="AB66" s="57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ht="15.75" customHeight="1" x14ac:dyDescent="0.35">
      <c r="A67" s="23"/>
      <c r="B67" s="23"/>
      <c r="C67" s="44" t="s">
        <v>163</v>
      </c>
      <c r="D67" s="45">
        <v>12</v>
      </c>
      <c r="E67" s="45">
        <v>1</v>
      </c>
      <c r="F67" s="46" t="s">
        <v>380</v>
      </c>
      <c r="G67" s="47">
        <v>3</v>
      </c>
      <c r="H67" s="181"/>
      <c r="I67" s="44">
        <f>$D$9*E67*'Vehicle Infos'!$L$10</f>
        <v>11.330469333333333</v>
      </c>
      <c r="J67" s="23"/>
      <c r="K67" s="23"/>
      <c r="L67" s="101" t="s">
        <v>165</v>
      </c>
      <c r="M67" s="48">
        <v>18.5</v>
      </c>
      <c r="N67" s="51">
        <v>3</v>
      </c>
      <c r="O67" s="46" t="s">
        <v>253</v>
      </c>
      <c r="P67" s="47">
        <v>5</v>
      </c>
      <c r="Q67" s="193"/>
      <c r="R67" s="49">
        <f>$F$9*N67*'Vehicle Infos'!$L$21</f>
        <v>19.636220571428566</v>
      </c>
      <c r="S67" s="23"/>
      <c r="T67" s="23"/>
      <c r="U67" s="96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ht="15.75" customHeight="1" x14ac:dyDescent="0.35">
      <c r="A68" s="23"/>
      <c r="B68" s="23"/>
      <c r="C68" s="44" t="s">
        <v>167</v>
      </c>
      <c r="D68" s="45">
        <v>14</v>
      </c>
      <c r="E68" s="45">
        <v>2</v>
      </c>
      <c r="F68" s="46" t="s">
        <v>328</v>
      </c>
      <c r="G68" s="47">
        <v>5</v>
      </c>
      <c r="H68" s="181"/>
      <c r="I68" s="44">
        <f>$D$9*E68*'Vehicle Infos'!$L$10</f>
        <v>22.660938666666667</v>
      </c>
      <c r="J68" s="23"/>
      <c r="K68" s="23"/>
      <c r="L68" s="102" t="s">
        <v>162</v>
      </c>
      <c r="M68" s="49"/>
      <c r="N68" s="45">
        <f>SUM(N61:N67)</f>
        <v>18.5</v>
      </c>
      <c r="O68" s="58"/>
      <c r="P68" s="47">
        <f>SUM(P62:P67)</f>
        <v>30</v>
      </c>
      <c r="Q68" s="57"/>
      <c r="R68" s="49">
        <f>$F$9*N68*'Vehicle Infos'!$L$21</f>
        <v>121.09002685714283</v>
      </c>
      <c r="S68" s="23"/>
      <c r="T68" s="23"/>
      <c r="U68" s="96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ht="15.75" customHeight="1" x14ac:dyDescent="0.35">
      <c r="A69" s="23"/>
      <c r="B69" s="23"/>
      <c r="C69" s="44" t="s">
        <v>169</v>
      </c>
      <c r="D69" s="45">
        <v>14.5</v>
      </c>
      <c r="E69" s="45">
        <v>0.5</v>
      </c>
      <c r="F69" s="46" t="s">
        <v>566</v>
      </c>
      <c r="G69" s="47">
        <v>2</v>
      </c>
      <c r="H69" s="181"/>
      <c r="I69" s="44">
        <f>$D$9*E69*'Vehicle Infos'!$L$10</f>
        <v>5.6652346666666666</v>
      </c>
      <c r="J69" s="23"/>
      <c r="K69" s="23"/>
      <c r="L69" s="96"/>
      <c r="M69" s="23"/>
      <c r="N69" s="23"/>
      <c r="O69" s="23"/>
      <c r="P69" s="23"/>
      <c r="Q69" s="23"/>
      <c r="R69" s="23"/>
      <c r="S69" s="23"/>
      <c r="T69" s="23"/>
      <c r="U69" s="96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ht="15.75" customHeight="1" x14ac:dyDescent="0.35">
      <c r="A70" s="23"/>
      <c r="B70" s="23"/>
      <c r="C70" s="44" t="s">
        <v>171</v>
      </c>
      <c r="D70" s="45">
        <v>15</v>
      </c>
      <c r="E70" s="45">
        <v>0.5</v>
      </c>
      <c r="F70" s="46" t="s">
        <v>377</v>
      </c>
      <c r="G70" s="47">
        <v>1</v>
      </c>
      <c r="H70" s="193"/>
      <c r="I70" s="44">
        <f>$D$9*E70*'Vehicle Infos'!$L$10</f>
        <v>5.6652346666666666</v>
      </c>
      <c r="J70" s="23"/>
      <c r="K70" s="23"/>
      <c r="L70" s="96"/>
      <c r="M70" s="23"/>
      <c r="N70" s="23"/>
      <c r="O70" s="23"/>
      <c r="P70" s="23"/>
      <c r="Q70" s="23"/>
      <c r="R70" s="23"/>
      <c r="S70" s="23"/>
      <c r="T70" s="23"/>
      <c r="U70" s="96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ht="15.75" customHeight="1" x14ac:dyDescent="0.35">
      <c r="A71" s="23"/>
      <c r="B71" s="23"/>
      <c r="C71" s="54" t="s">
        <v>162</v>
      </c>
      <c r="D71" s="49"/>
      <c r="E71" s="45">
        <v>15</v>
      </c>
      <c r="F71" s="58"/>
      <c r="G71" s="75">
        <f>SUM(G62:G70)</f>
        <v>35</v>
      </c>
      <c r="H71" s="47"/>
      <c r="I71" s="44">
        <f>$D$9*E71*'Vehicle Infos'!$L$10</f>
        <v>169.95704000000001</v>
      </c>
      <c r="J71" s="23"/>
      <c r="K71" s="23"/>
      <c r="L71" s="96"/>
      <c r="M71" s="23"/>
      <c r="N71" s="23"/>
      <c r="O71" s="23"/>
      <c r="P71" s="23"/>
      <c r="Q71" s="23"/>
      <c r="R71" s="23"/>
      <c r="S71" s="23"/>
      <c r="T71" s="23"/>
      <c r="U71" s="96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ht="15.7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96"/>
      <c r="M72" s="23"/>
      <c r="N72" s="23"/>
      <c r="O72" s="23"/>
      <c r="P72" s="23"/>
      <c r="Q72" s="23"/>
      <c r="R72" s="23"/>
      <c r="S72" s="23"/>
      <c r="T72" s="23"/>
      <c r="U72" s="96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ht="15.7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96"/>
      <c r="M73" s="23"/>
      <c r="N73" s="23"/>
      <c r="O73" s="23"/>
      <c r="P73" s="23"/>
      <c r="Q73" s="23"/>
      <c r="R73" s="23"/>
      <c r="S73" s="23"/>
      <c r="T73" s="23"/>
      <c r="U73" s="96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ht="19.5" customHeight="1" x14ac:dyDescent="0.35">
      <c r="A74" s="23"/>
      <c r="B74" s="23"/>
      <c r="C74" s="32" t="s">
        <v>570</v>
      </c>
      <c r="D74" s="69"/>
      <c r="E74" s="69"/>
      <c r="F74" s="69"/>
      <c r="G74" s="69"/>
      <c r="H74" s="69"/>
      <c r="I74" s="69"/>
      <c r="J74" s="23"/>
      <c r="K74" s="23"/>
      <c r="L74" s="97" t="s">
        <v>570</v>
      </c>
      <c r="M74" s="33"/>
      <c r="N74" s="33"/>
      <c r="O74" s="33"/>
      <c r="P74" s="33"/>
      <c r="Q74" s="33"/>
      <c r="R74" s="33"/>
      <c r="S74" s="23"/>
      <c r="T74" s="23"/>
      <c r="U74" s="97" t="s">
        <v>570</v>
      </c>
      <c r="V74" s="33"/>
      <c r="W74" s="33"/>
      <c r="X74" s="33"/>
      <c r="Y74" s="33"/>
      <c r="Z74" s="33"/>
      <c r="AA74" s="33"/>
      <c r="AB74" s="3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ht="64.5" customHeight="1" x14ac:dyDescent="0.3">
      <c r="A75" s="23"/>
      <c r="B75" s="23"/>
      <c r="C75" s="37" t="s">
        <v>176</v>
      </c>
      <c r="D75" s="38" t="s">
        <v>122</v>
      </c>
      <c r="E75" s="38" t="s">
        <v>129</v>
      </c>
      <c r="F75" s="38" t="s">
        <v>130</v>
      </c>
      <c r="G75" s="38" t="s">
        <v>131</v>
      </c>
      <c r="H75" s="39" t="s">
        <v>126</v>
      </c>
      <c r="I75" s="40" t="s">
        <v>127</v>
      </c>
      <c r="J75" s="23"/>
      <c r="K75" s="23"/>
      <c r="L75" s="43" t="s">
        <v>177</v>
      </c>
      <c r="M75" s="38" t="s">
        <v>122</v>
      </c>
      <c r="N75" s="38" t="s">
        <v>129</v>
      </c>
      <c r="O75" s="38" t="s">
        <v>130</v>
      </c>
      <c r="P75" s="38" t="s">
        <v>131</v>
      </c>
      <c r="Q75" s="39" t="s">
        <v>126</v>
      </c>
      <c r="R75" s="40" t="s">
        <v>127</v>
      </c>
      <c r="S75" s="23"/>
      <c r="T75" s="23"/>
      <c r="U75" s="43" t="s">
        <v>178</v>
      </c>
      <c r="V75" s="38" t="s">
        <v>122</v>
      </c>
      <c r="W75" s="38" t="s">
        <v>129</v>
      </c>
      <c r="X75" s="38" t="s">
        <v>130</v>
      </c>
      <c r="Y75" s="38" t="s">
        <v>131</v>
      </c>
      <c r="Z75" s="39" t="s">
        <v>126</v>
      </c>
      <c r="AA75" s="40" t="s">
        <v>127</v>
      </c>
      <c r="AB75" s="118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ht="15.75" customHeight="1" x14ac:dyDescent="0.35">
      <c r="A76" s="23"/>
      <c r="B76" s="23"/>
      <c r="C76" s="44" t="s">
        <v>133</v>
      </c>
      <c r="D76" s="45">
        <v>0</v>
      </c>
      <c r="E76" s="45">
        <v>0</v>
      </c>
      <c r="F76" s="46" t="s">
        <v>390</v>
      </c>
      <c r="G76" s="47"/>
      <c r="H76" s="194">
        <f>D10*D3*'Vehicle Infos'!K10</f>
        <v>198.75</v>
      </c>
      <c r="I76" s="44">
        <f>$D$10*E76*'Vehicle Infos'!$L$10</f>
        <v>0</v>
      </c>
      <c r="J76" s="23"/>
      <c r="K76" s="23"/>
      <c r="L76" s="101" t="s">
        <v>135</v>
      </c>
      <c r="M76" s="48">
        <v>0</v>
      </c>
      <c r="N76" s="47">
        <v>0</v>
      </c>
      <c r="O76" s="46" t="s">
        <v>489</v>
      </c>
      <c r="P76" s="47"/>
      <c r="Q76" s="194">
        <f>F10*F3*'Vehicle Infos'!K21</f>
        <v>188.26829999999998</v>
      </c>
      <c r="R76" s="49">
        <f>$F$10*N76*'Vehicle Infos'!$L$21</f>
        <v>0</v>
      </c>
      <c r="S76" s="23"/>
      <c r="T76" s="23"/>
      <c r="U76" s="101" t="s">
        <v>136</v>
      </c>
      <c r="V76" s="48">
        <v>0</v>
      </c>
      <c r="W76" s="47">
        <v>0</v>
      </c>
      <c r="X76" s="46" t="s">
        <v>259</v>
      </c>
      <c r="Y76" s="47">
        <v>0</v>
      </c>
      <c r="Z76" s="194">
        <f>G10*G3*'Vehicle Infos'!K29</f>
        <v>142.55999999999997</v>
      </c>
      <c r="AA76" s="49">
        <f>$G$10*W76*'Vehicle Infos'!$L$29</f>
        <v>0</v>
      </c>
      <c r="AB76" s="44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ht="15.75" customHeight="1" x14ac:dyDescent="0.35">
      <c r="A77" s="23"/>
      <c r="B77" s="23"/>
      <c r="C77" s="44" t="s">
        <v>137</v>
      </c>
      <c r="D77" s="45">
        <v>7.5</v>
      </c>
      <c r="E77" s="45">
        <v>7.5</v>
      </c>
      <c r="F77" s="46" t="s">
        <v>391</v>
      </c>
      <c r="G77" s="47">
        <v>7</v>
      </c>
      <c r="H77" s="181"/>
      <c r="I77" s="44">
        <f>$D$10*E77*'Vehicle Infos'!$L$10</f>
        <v>48.283250000000002</v>
      </c>
      <c r="J77" s="23"/>
      <c r="K77" s="23"/>
      <c r="L77" s="101" t="s">
        <v>139</v>
      </c>
      <c r="M77" s="48">
        <v>1</v>
      </c>
      <c r="N77" s="47">
        <v>1</v>
      </c>
      <c r="O77" s="46" t="s">
        <v>490</v>
      </c>
      <c r="P77" s="47">
        <v>2</v>
      </c>
      <c r="Q77" s="181"/>
      <c r="R77" s="49">
        <f>$F$10*N77*'Vehicle Infos'!$L$21</f>
        <v>3.272703428571428</v>
      </c>
      <c r="S77" s="23"/>
      <c r="T77" s="23"/>
      <c r="U77" s="101" t="s">
        <v>141</v>
      </c>
      <c r="V77" s="48">
        <v>3</v>
      </c>
      <c r="W77" s="51">
        <v>3</v>
      </c>
      <c r="X77" s="46" t="s">
        <v>571</v>
      </c>
      <c r="Y77" s="47">
        <v>4</v>
      </c>
      <c r="Z77" s="181"/>
      <c r="AA77" s="49">
        <f>$G$10*W77*'Vehicle Infos'!$L$29</f>
        <v>9.022869</v>
      </c>
      <c r="AB77" s="57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ht="15.75" customHeight="1" x14ac:dyDescent="0.35">
      <c r="A78" s="23"/>
      <c r="B78" s="23"/>
      <c r="C78" s="44" t="s">
        <v>143</v>
      </c>
      <c r="D78" s="45">
        <v>8</v>
      </c>
      <c r="E78" s="45">
        <v>0.5</v>
      </c>
      <c r="F78" s="46" t="s">
        <v>394</v>
      </c>
      <c r="G78" s="47">
        <v>3</v>
      </c>
      <c r="H78" s="181"/>
      <c r="I78" s="44">
        <f>$D$10*E78*'Vehicle Infos'!$L$10</f>
        <v>3.2188833333333333</v>
      </c>
      <c r="J78" s="23"/>
      <c r="K78" s="23"/>
      <c r="L78" s="101" t="s">
        <v>145</v>
      </c>
      <c r="M78" s="48">
        <v>2.5</v>
      </c>
      <c r="N78" s="51">
        <v>1.5</v>
      </c>
      <c r="O78" s="46" t="s">
        <v>572</v>
      </c>
      <c r="P78" s="47">
        <v>5</v>
      </c>
      <c r="Q78" s="181"/>
      <c r="R78" s="49">
        <f>$F$10*N78*'Vehicle Infos'!$L$21</f>
        <v>4.9090551428571416</v>
      </c>
      <c r="S78" s="23"/>
      <c r="T78" s="23"/>
      <c r="U78" s="101" t="s">
        <v>146</v>
      </c>
      <c r="V78" s="48">
        <v>5.5</v>
      </c>
      <c r="W78" s="51">
        <v>2.5</v>
      </c>
      <c r="X78" s="46" t="s">
        <v>445</v>
      </c>
      <c r="Y78" s="47">
        <v>5</v>
      </c>
      <c r="Z78" s="181"/>
      <c r="AA78" s="49">
        <f>$G$10*W78*'Vehicle Infos'!$L$29</f>
        <v>7.5190575000000006</v>
      </c>
      <c r="AB78" s="57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ht="15.75" customHeight="1" x14ac:dyDescent="0.35">
      <c r="A79" s="23"/>
      <c r="B79" s="23"/>
      <c r="C79" s="44" t="s">
        <v>148</v>
      </c>
      <c r="D79" s="45">
        <v>9</v>
      </c>
      <c r="E79" s="45">
        <v>1</v>
      </c>
      <c r="F79" s="46" t="s">
        <v>337</v>
      </c>
      <c r="G79" s="47">
        <v>2</v>
      </c>
      <c r="H79" s="181"/>
      <c r="I79" s="44">
        <f>$D$10*E79*'Vehicle Infos'!$L$10</f>
        <v>6.4377666666666666</v>
      </c>
      <c r="J79" s="23"/>
      <c r="K79" s="23"/>
      <c r="L79" s="101" t="s">
        <v>150</v>
      </c>
      <c r="M79" s="48">
        <v>9</v>
      </c>
      <c r="N79" s="51">
        <v>6.5</v>
      </c>
      <c r="O79" s="46" t="s">
        <v>573</v>
      </c>
      <c r="P79" s="47">
        <v>9</v>
      </c>
      <c r="Q79" s="181"/>
      <c r="R79" s="49">
        <f>$F$10*N79*'Vehicle Infos'!$L$21</f>
        <v>21.272572285714283</v>
      </c>
      <c r="S79" s="23"/>
      <c r="T79" s="23"/>
      <c r="U79" s="101" t="s">
        <v>151</v>
      </c>
      <c r="V79" s="48">
        <v>7.5</v>
      </c>
      <c r="W79" s="51">
        <v>2</v>
      </c>
      <c r="X79" s="46" t="s">
        <v>574</v>
      </c>
      <c r="Y79" s="47">
        <v>8</v>
      </c>
      <c r="Z79" s="181"/>
      <c r="AA79" s="49">
        <f>$G$10*W79*'Vehicle Infos'!$L$29</f>
        <v>6.0152460000000003</v>
      </c>
      <c r="AB79" s="57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ht="15.75" customHeight="1" x14ac:dyDescent="0.35">
      <c r="A80" s="23"/>
      <c r="B80" s="23"/>
      <c r="C80" s="44" t="s">
        <v>153</v>
      </c>
      <c r="D80" s="45">
        <v>10</v>
      </c>
      <c r="E80" s="45">
        <v>1</v>
      </c>
      <c r="F80" s="46" t="s">
        <v>448</v>
      </c>
      <c r="G80" s="47">
        <v>3</v>
      </c>
      <c r="H80" s="181"/>
      <c r="I80" s="44">
        <f>$D$10*E80*'Vehicle Infos'!$L$10</f>
        <v>6.4377666666666666</v>
      </c>
      <c r="J80" s="23"/>
      <c r="K80" s="23"/>
      <c r="L80" s="101" t="s">
        <v>155</v>
      </c>
      <c r="M80" s="48">
        <v>12</v>
      </c>
      <c r="N80" s="51">
        <v>3</v>
      </c>
      <c r="O80" s="46" t="s">
        <v>495</v>
      </c>
      <c r="P80" s="47">
        <v>4</v>
      </c>
      <c r="Q80" s="181"/>
      <c r="R80" s="49">
        <f>$F$10*N80*'Vehicle Infos'!$L$21</f>
        <v>9.8181102857142832</v>
      </c>
      <c r="S80" s="23"/>
      <c r="T80" s="23"/>
      <c r="U80" s="101" t="s">
        <v>156</v>
      </c>
      <c r="V80" s="48">
        <v>12</v>
      </c>
      <c r="W80" s="51">
        <v>4.5</v>
      </c>
      <c r="X80" s="46" t="s">
        <v>390</v>
      </c>
      <c r="Y80" s="47">
        <v>13</v>
      </c>
      <c r="Z80" s="193"/>
      <c r="AA80" s="49">
        <f>$G$10*W80*'Vehicle Infos'!$L$29</f>
        <v>13.534303500000002</v>
      </c>
      <c r="AB80" s="57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ht="15.75" customHeight="1" x14ac:dyDescent="0.35">
      <c r="A81" s="23"/>
      <c r="B81" s="23"/>
      <c r="C81" s="44" t="s">
        <v>158</v>
      </c>
      <c r="D81" s="45">
        <v>11</v>
      </c>
      <c r="E81" s="45">
        <v>1</v>
      </c>
      <c r="F81" s="46" t="s">
        <v>575</v>
      </c>
      <c r="G81" s="47">
        <v>8</v>
      </c>
      <c r="H81" s="181"/>
      <c r="I81" s="44">
        <f>$D$10*E81*'Vehicle Infos'!$L$10</f>
        <v>6.4377666666666666</v>
      </c>
      <c r="J81" s="23"/>
      <c r="K81" s="23"/>
      <c r="L81" s="101" t="s">
        <v>160</v>
      </c>
      <c r="M81" s="48">
        <v>15.5</v>
      </c>
      <c r="N81" s="51">
        <v>3.5</v>
      </c>
      <c r="O81" s="46" t="s">
        <v>497</v>
      </c>
      <c r="P81" s="91">
        <v>5</v>
      </c>
      <c r="Q81" s="181"/>
      <c r="R81" s="49">
        <f>$F$10*N81*'Vehicle Infos'!$L$21</f>
        <v>11.454461999999998</v>
      </c>
      <c r="S81" s="23"/>
      <c r="T81" s="23"/>
      <c r="U81" s="102" t="s">
        <v>162</v>
      </c>
      <c r="V81" s="48"/>
      <c r="W81" s="51">
        <f>SUM(W76:W80)</f>
        <v>12</v>
      </c>
      <c r="X81" s="46"/>
      <c r="Y81" s="92">
        <f>SUM(Y76:Y80)</f>
        <v>30</v>
      </c>
      <c r="Z81" s="57"/>
      <c r="AA81" s="49">
        <f>$G$10*W81*'Vehicle Infos'!$L$29</f>
        <v>36.091476</v>
      </c>
      <c r="AB81" s="57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ht="15.75" customHeight="1" x14ac:dyDescent="0.35">
      <c r="A82" s="23"/>
      <c r="B82" s="23"/>
      <c r="C82" s="44" t="s">
        <v>163</v>
      </c>
      <c r="D82" s="45">
        <v>12</v>
      </c>
      <c r="E82" s="45">
        <v>1</v>
      </c>
      <c r="F82" s="46" t="s">
        <v>451</v>
      </c>
      <c r="G82" s="47">
        <v>2</v>
      </c>
      <c r="H82" s="181"/>
      <c r="I82" s="44">
        <f>$D$10*E82*'Vehicle Infos'!$L$10</f>
        <v>6.4377666666666666</v>
      </c>
      <c r="J82" s="23"/>
      <c r="K82" s="23"/>
      <c r="L82" s="101" t="s">
        <v>165</v>
      </c>
      <c r="M82" s="48">
        <v>18.5</v>
      </c>
      <c r="N82" s="51">
        <v>3</v>
      </c>
      <c r="O82" s="46" t="s">
        <v>499</v>
      </c>
      <c r="P82" s="47">
        <v>6</v>
      </c>
      <c r="Q82" s="193"/>
      <c r="R82" s="49">
        <f>$F$10*N82*'Vehicle Infos'!$L$21</f>
        <v>9.8181102857142832</v>
      </c>
      <c r="S82" s="23"/>
      <c r="T82" s="23"/>
      <c r="U82" s="102"/>
      <c r="V82" s="49"/>
      <c r="W82" s="45"/>
      <c r="X82" s="58"/>
      <c r="Y82" s="75"/>
      <c r="Z82" s="47"/>
      <c r="AA82" s="47"/>
      <c r="AB82" s="119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ht="15.75" customHeight="1" x14ac:dyDescent="0.35">
      <c r="A83" s="23"/>
      <c r="B83" s="23"/>
      <c r="C83" s="44" t="s">
        <v>167</v>
      </c>
      <c r="D83" s="45">
        <v>14</v>
      </c>
      <c r="E83" s="45">
        <v>2</v>
      </c>
      <c r="F83" s="46" t="s">
        <v>576</v>
      </c>
      <c r="G83" s="47">
        <v>4</v>
      </c>
      <c r="H83" s="181"/>
      <c r="I83" s="44">
        <f>$D$10*E83*'Vehicle Infos'!$L$10</f>
        <v>12.875533333333333</v>
      </c>
      <c r="J83" s="23"/>
      <c r="K83" s="23"/>
      <c r="L83" s="102" t="s">
        <v>162</v>
      </c>
      <c r="M83" s="49"/>
      <c r="N83" s="45">
        <f>SUM(N76:N82)</f>
        <v>18.5</v>
      </c>
      <c r="O83" s="58"/>
      <c r="P83" s="75">
        <f>SUM(P77:P82)</f>
        <v>31</v>
      </c>
      <c r="Q83" s="57"/>
      <c r="R83" s="49">
        <f>$F$10*N83*'Vehicle Infos'!$L$21</f>
        <v>60.545013428571416</v>
      </c>
      <c r="S83" s="23"/>
      <c r="T83" s="23"/>
      <c r="U83" s="96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ht="15.75" customHeight="1" x14ac:dyDescent="0.35">
      <c r="A84" s="23"/>
      <c r="B84" s="23"/>
      <c r="C84" s="44" t="s">
        <v>169</v>
      </c>
      <c r="D84" s="45">
        <v>14.5</v>
      </c>
      <c r="E84" s="45">
        <v>0.5</v>
      </c>
      <c r="F84" s="46" t="s">
        <v>269</v>
      </c>
      <c r="G84" s="47">
        <v>1</v>
      </c>
      <c r="H84" s="181"/>
      <c r="I84" s="44">
        <f>$D$10*E84*'Vehicle Infos'!$L$10</f>
        <v>3.2188833333333333</v>
      </c>
      <c r="J84" s="23"/>
      <c r="K84" s="23"/>
      <c r="L84" s="101"/>
      <c r="M84" s="45"/>
      <c r="N84" s="45"/>
      <c r="O84" s="46"/>
      <c r="P84" s="47"/>
      <c r="Q84" s="57"/>
      <c r="R84" s="49"/>
      <c r="S84" s="23"/>
      <c r="T84" s="23"/>
      <c r="U84" s="96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ht="15.75" customHeight="1" x14ac:dyDescent="0.35">
      <c r="A85" s="23"/>
      <c r="B85" s="23"/>
      <c r="C85" s="44" t="s">
        <v>171</v>
      </c>
      <c r="D85" s="45">
        <v>15</v>
      </c>
      <c r="E85" s="45">
        <v>0.5</v>
      </c>
      <c r="F85" s="46" t="s">
        <v>453</v>
      </c>
      <c r="G85" s="47">
        <v>1</v>
      </c>
      <c r="H85" s="193"/>
      <c r="I85" s="44">
        <f>$D$10*E85*'Vehicle Infos'!$L$10</f>
        <v>3.2188833333333333</v>
      </c>
      <c r="J85" s="23"/>
      <c r="K85" s="23"/>
      <c r="L85" s="96"/>
      <c r="M85" s="23"/>
      <c r="N85" s="23"/>
      <c r="O85" s="23"/>
      <c r="P85" s="23"/>
      <c r="Q85" s="23"/>
      <c r="R85" s="23"/>
      <c r="S85" s="23"/>
      <c r="T85" s="23"/>
      <c r="U85" s="96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ht="15.75" customHeight="1" x14ac:dyDescent="0.35">
      <c r="A86" s="23"/>
      <c r="B86" s="23"/>
      <c r="C86" s="54" t="s">
        <v>162</v>
      </c>
      <c r="D86" s="49"/>
      <c r="E86" s="45">
        <v>15</v>
      </c>
      <c r="F86" s="58"/>
      <c r="G86" s="75">
        <f>SUM(G77:G85)</f>
        <v>31</v>
      </c>
      <c r="H86" s="47"/>
      <c r="I86" s="44">
        <f>$D$10*E86*'Vehicle Infos'!$L$10</f>
        <v>96.566500000000005</v>
      </c>
      <c r="J86" s="23"/>
      <c r="K86" s="23"/>
      <c r="L86" s="96"/>
      <c r="M86" s="23"/>
      <c r="N86" s="23"/>
      <c r="O86" s="23"/>
      <c r="P86" s="23"/>
      <c r="Q86" s="23"/>
      <c r="R86" s="23"/>
      <c r="S86" s="23"/>
      <c r="T86" s="23"/>
      <c r="U86" s="96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ht="15.7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96"/>
      <c r="M87" s="23"/>
      <c r="N87" s="23"/>
      <c r="O87" s="23"/>
      <c r="P87" s="23"/>
      <c r="Q87" s="23"/>
      <c r="R87" s="23"/>
      <c r="S87" s="23"/>
      <c r="T87" s="23"/>
      <c r="U87" s="96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ht="15.7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96"/>
      <c r="M88" s="23"/>
      <c r="N88" s="23"/>
      <c r="O88" s="23"/>
      <c r="P88" s="23"/>
      <c r="Q88" s="23"/>
      <c r="R88" s="23"/>
      <c r="S88" s="23"/>
      <c r="T88" s="23"/>
      <c r="U88" s="96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ht="15.7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96"/>
      <c r="M89" s="23"/>
      <c r="N89" s="23"/>
      <c r="O89" s="23"/>
      <c r="P89" s="23"/>
      <c r="Q89" s="23"/>
      <c r="R89" s="23"/>
      <c r="S89" s="23"/>
      <c r="T89" s="23"/>
      <c r="U89" s="96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ht="15.7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96"/>
      <c r="M90" s="23"/>
      <c r="N90" s="23"/>
      <c r="O90" s="23"/>
      <c r="P90" s="23"/>
      <c r="Q90" s="23"/>
      <c r="R90" s="23"/>
      <c r="S90" s="23"/>
      <c r="T90" s="23"/>
      <c r="U90" s="96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ht="15.7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96"/>
      <c r="M91" s="23"/>
      <c r="N91" s="23"/>
      <c r="O91" s="23"/>
      <c r="P91" s="23"/>
      <c r="Q91" s="23"/>
      <c r="R91" s="23"/>
      <c r="S91" s="23"/>
      <c r="T91" s="23"/>
      <c r="U91" s="96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ht="15.7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96"/>
      <c r="M92" s="23"/>
      <c r="N92" s="23"/>
      <c r="O92" s="23"/>
      <c r="P92" s="23"/>
      <c r="Q92" s="23"/>
      <c r="R92" s="23"/>
      <c r="S92" s="23"/>
      <c r="T92" s="23"/>
      <c r="U92" s="96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ht="15.7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96"/>
      <c r="M93" s="23"/>
      <c r="N93" s="23"/>
      <c r="O93" s="23"/>
      <c r="P93" s="23"/>
      <c r="Q93" s="23"/>
      <c r="R93" s="23"/>
      <c r="S93" s="23"/>
      <c r="T93" s="23"/>
      <c r="U93" s="96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ht="15.7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96"/>
      <c r="M94" s="23"/>
      <c r="N94" s="23"/>
      <c r="O94" s="23"/>
      <c r="P94" s="23"/>
      <c r="Q94" s="23"/>
      <c r="R94" s="23"/>
      <c r="S94" s="23"/>
      <c r="T94" s="23"/>
      <c r="U94" s="96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ht="15.7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96"/>
      <c r="M95" s="23"/>
      <c r="N95" s="23"/>
      <c r="O95" s="23"/>
      <c r="P95" s="23"/>
      <c r="Q95" s="23"/>
      <c r="R95" s="23"/>
      <c r="S95" s="23"/>
      <c r="T95" s="23"/>
      <c r="U95" s="96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ht="15.7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96"/>
      <c r="M96" s="23"/>
      <c r="N96" s="23"/>
      <c r="O96" s="23"/>
      <c r="P96" s="23"/>
      <c r="Q96" s="23"/>
      <c r="R96" s="23"/>
      <c r="S96" s="23"/>
      <c r="T96" s="23"/>
      <c r="U96" s="96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ht="15.7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96"/>
      <c r="M97" s="23"/>
      <c r="N97" s="23"/>
      <c r="O97" s="23"/>
      <c r="P97" s="23"/>
      <c r="Q97" s="23"/>
      <c r="R97" s="23"/>
      <c r="S97" s="23"/>
      <c r="T97" s="23"/>
      <c r="U97" s="96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ht="15.7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96"/>
      <c r="M98" s="23"/>
      <c r="N98" s="23"/>
      <c r="O98" s="23"/>
      <c r="P98" s="23"/>
      <c r="Q98" s="23"/>
      <c r="R98" s="23"/>
      <c r="S98" s="23"/>
      <c r="T98" s="23"/>
      <c r="U98" s="96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ht="15.7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96"/>
      <c r="M99" s="23"/>
      <c r="N99" s="23"/>
      <c r="O99" s="23"/>
      <c r="P99" s="23"/>
      <c r="Q99" s="23"/>
      <c r="R99" s="23"/>
      <c r="S99" s="23"/>
      <c r="T99" s="23"/>
      <c r="U99" s="96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ht="15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96"/>
      <c r="M100" s="23"/>
      <c r="N100" s="23"/>
      <c r="O100" s="23"/>
      <c r="P100" s="23"/>
      <c r="Q100" s="23"/>
      <c r="R100" s="23"/>
      <c r="S100" s="23"/>
      <c r="T100" s="23"/>
      <c r="U100" s="96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ht="15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96"/>
      <c r="M101" s="23"/>
      <c r="N101" s="23"/>
      <c r="O101" s="23"/>
      <c r="P101" s="23"/>
      <c r="Q101" s="23"/>
      <c r="R101" s="23"/>
      <c r="S101" s="23"/>
      <c r="T101" s="23"/>
      <c r="U101" s="96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ht="15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96"/>
      <c r="M102" s="23"/>
      <c r="N102" s="23"/>
      <c r="O102" s="23"/>
      <c r="P102" s="23"/>
      <c r="Q102" s="23"/>
      <c r="R102" s="23"/>
      <c r="S102" s="23"/>
      <c r="T102" s="23"/>
      <c r="U102" s="96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ht="15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96"/>
      <c r="M103" s="23"/>
      <c r="N103" s="23"/>
      <c r="O103" s="23"/>
      <c r="P103" s="23"/>
      <c r="Q103" s="23"/>
      <c r="R103" s="23"/>
      <c r="S103" s="23"/>
      <c r="T103" s="23"/>
      <c r="U103" s="96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ht="15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96"/>
      <c r="M104" s="23"/>
      <c r="N104" s="23"/>
      <c r="O104" s="23"/>
      <c r="P104" s="23"/>
      <c r="Q104" s="23"/>
      <c r="R104" s="23"/>
      <c r="S104" s="23"/>
      <c r="T104" s="23"/>
      <c r="U104" s="96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ht="15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96"/>
      <c r="M105" s="23"/>
      <c r="N105" s="23"/>
      <c r="O105" s="23"/>
      <c r="P105" s="23"/>
      <c r="Q105" s="23"/>
      <c r="R105" s="23"/>
      <c r="S105" s="23"/>
      <c r="T105" s="23"/>
      <c r="U105" s="96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ht="15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96"/>
      <c r="M106" s="23"/>
      <c r="N106" s="23"/>
      <c r="O106" s="23"/>
      <c r="P106" s="23"/>
      <c r="Q106" s="23"/>
      <c r="R106" s="23"/>
      <c r="S106" s="23"/>
      <c r="T106" s="23"/>
      <c r="U106" s="96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ht="15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96"/>
      <c r="M107" s="23"/>
      <c r="N107" s="23"/>
      <c r="O107" s="23"/>
      <c r="P107" s="23"/>
      <c r="Q107" s="23"/>
      <c r="R107" s="23"/>
      <c r="S107" s="23"/>
      <c r="T107" s="23"/>
      <c r="U107" s="96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ht="15.7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96"/>
      <c r="M108" s="23"/>
      <c r="N108" s="23"/>
      <c r="O108" s="23"/>
      <c r="P108" s="23"/>
      <c r="Q108" s="23"/>
      <c r="R108" s="23"/>
      <c r="S108" s="23"/>
      <c r="T108" s="23"/>
      <c r="U108" s="96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ht="15.7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96"/>
      <c r="M109" s="23"/>
      <c r="N109" s="23"/>
      <c r="O109" s="23"/>
      <c r="P109" s="23"/>
      <c r="Q109" s="23"/>
      <c r="R109" s="23"/>
      <c r="S109" s="23"/>
      <c r="T109" s="23"/>
      <c r="U109" s="96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ht="15.7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96"/>
      <c r="M110" s="23"/>
      <c r="N110" s="23"/>
      <c r="O110" s="23"/>
      <c r="P110" s="23"/>
      <c r="Q110" s="23"/>
      <c r="R110" s="23"/>
      <c r="S110" s="23"/>
      <c r="T110" s="23"/>
      <c r="U110" s="96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ht="15.7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96"/>
      <c r="M111" s="23"/>
      <c r="N111" s="23"/>
      <c r="O111" s="23"/>
      <c r="P111" s="23"/>
      <c r="Q111" s="23"/>
      <c r="R111" s="23"/>
      <c r="S111" s="23"/>
      <c r="T111" s="23"/>
      <c r="U111" s="96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ht="15.7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96"/>
      <c r="M112" s="23"/>
      <c r="N112" s="23"/>
      <c r="O112" s="23"/>
      <c r="P112" s="23"/>
      <c r="Q112" s="23"/>
      <c r="R112" s="23"/>
      <c r="S112" s="23"/>
      <c r="T112" s="23"/>
      <c r="U112" s="96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ht="15.7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96"/>
      <c r="M113" s="23"/>
      <c r="N113" s="23"/>
      <c r="O113" s="23"/>
      <c r="P113" s="23"/>
      <c r="Q113" s="23"/>
      <c r="R113" s="23"/>
      <c r="S113" s="23"/>
      <c r="T113" s="23"/>
      <c r="U113" s="96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ht="15.7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96"/>
      <c r="M114" s="23"/>
      <c r="N114" s="23"/>
      <c r="O114" s="23"/>
      <c r="P114" s="23"/>
      <c r="Q114" s="23"/>
      <c r="R114" s="23"/>
      <c r="S114" s="23"/>
      <c r="T114" s="23"/>
      <c r="U114" s="96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ht="15.7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96"/>
      <c r="M115" s="23"/>
      <c r="N115" s="23"/>
      <c r="O115" s="23"/>
      <c r="P115" s="23"/>
      <c r="Q115" s="23"/>
      <c r="R115" s="23"/>
      <c r="S115" s="23"/>
      <c r="T115" s="23"/>
      <c r="U115" s="96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ht="15.7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96"/>
      <c r="M116" s="23"/>
      <c r="N116" s="23"/>
      <c r="O116" s="23"/>
      <c r="P116" s="23"/>
      <c r="Q116" s="23"/>
      <c r="R116" s="23"/>
      <c r="S116" s="23"/>
      <c r="T116" s="23"/>
      <c r="U116" s="96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ht="15.7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96"/>
      <c r="M117" s="23"/>
      <c r="N117" s="23"/>
      <c r="O117" s="23"/>
      <c r="P117" s="23"/>
      <c r="Q117" s="23"/>
      <c r="R117" s="23"/>
      <c r="S117" s="23"/>
      <c r="T117" s="23"/>
      <c r="U117" s="96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ht="15.7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96"/>
      <c r="M118" s="23"/>
      <c r="N118" s="23"/>
      <c r="O118" s="23"/>
      <c r="P118" s="23"/>
      <c r="Q118" s="23"/>
      <c r="R118" s="23"/>
      <c r="S118" s="23"/>
      <c r="T118" s="23"/>
      <c r="U118" s="96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ht="15.7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96"/>
      <c r="M119" s="23"/>
      <c r="N119" s="23"/>
      <c r="O119" s="23"/>
      <c r="P119" s="23"/>
      <c r="Q119" s="23"/>
      <c r="R119" s="23"/>
      <c r="S119" s="23"/>
      <c r="T119" s="23"/>
      <c r="U119" s="96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ht="15.7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96"/>
      <c r="M120" s="23"/>
      <c r="N120" s="23"/>
      <c r="O120" s="23"/>
      <c r="P120" s="23"/>
      <c r="Q120" s="23"/>
      <c r="R120" s="23"/>
      <c r="S120" s="23"/>
      <c r="T120" s="23"/>
      <c r="U120" s="96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ht="15.7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96"/>
      <c r="M121" s="23"/>
      <c r="N121" s="23"/>
      <c r="O121" s="23"/>
      <c r="P121" s="23"/>
      <c r="Q121" s="23"/>
      <c r="R121" s="23"/>
      <c r="S121" s="23"/>
      <c r="T121" s="23"/>
      <c r="U121" s="96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ht="15.7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96"/>
      <c r="M122" s="23"/>
      <c r="N122" s="23"/>
      <c r="O122" s="23"/>
      <c r="P122" s="23"/>
      <c r="Q122" s="23"/>
      <c r="R122" s="23"/>
      <c r="S122" s="23"/>
      <c r="T122" s="23"/>
      <c r="U122" s="96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ht="15.7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96"/>
      <c r="M123" s="23"/>
      <c r="N123" s="23"/>
      <c r="O123" s="23"/>
      <c r="P123" s="23"/>
      <c r="Q123" s="23"/>
      <c r="R123" s="23"/>
      <c r="S123" s="23"/>
      <c r="T123" s="23"/>
      <c r="U123" s="96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ht="15.7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96"/>
      <c r="M124" s="23"/>
      <c r="N124" s="23"/>
      <c r="O124" s="23"/>
      <c r="P124" s="23"/>
      <c r="Q124" s="23"/>
      <c r="R124" s="23"/>
      <c r="S124" s="23"/>
      <c r="T124" s="23"/>
      <c r="U124" s="96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ht="15.7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96"/>
      <c r="M125" s="23"/>
      <c r="N125" s="23"/>
      <c r="O125" s="23"/>
      <c r="P125" s="23"/>
      <c r="Q125" s="23"/>
      <c r="R125" s="23"/>
      <c r="S125" s="23"/>
      <c r="T125" s="23"/>
      <c r="U125" s="96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ht="15.7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96"/>
      <c r="M126" s="23"/>
      <c r="N126" s="23"/>
      <c r="O126" s="23"/>
      <c r="P126" s="23"/>
      <c r="Q126" s="23"/>
      <c r="R126" s="23"/>
      <c r="S126" s="23"/>
      <c r="T126" s="23"/>
      <c r="U126" s="96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ht="15.7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96"/>
      <c r="M127" s="23"/>
      <c r="N127" s="23"/>
      <c r="O127" s="23"/>
      <c r="P127" s="23"/>
      <c r="Q127" s="23"/>
      <c r="R127" s="23"/>
      <c r="S127" s="23"/>
      <c r="T127" s="23"/>
      <c r="U127" s="96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ht="15.7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96"/>
      <c r="M128" s="23"/>
      <c r="N128" s="23"/>
      <c r="O128" s="23"/>
      <c r="P128" s="23"/>
      <c r="Q128" s="23"/>
      <c r="R128" s="23"/>
      <c r="S128" s="23"/>
      <c r="T128" s="23"/>
      <c r="U128" s="96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ht="15.7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96"/>
      <c r="M129" s="23"/>
      <c r="N129" s="23"/>
      <c r="O129" s="23"/>
      <c r="P129" s="23"/>
      <c r="Q129" s="23"/>
      <c r="R129" s="23"/>
      <c r="S129" s="23"/>
      <c r="T129" s="23"/>
      <c r="U129" s="96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ht="15.7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96"/>
      <c r="M130" s="23"/>
      <c r="N130" s="23"/>
      <c r="O130" s="23"/>
      <c r="P130" s="23"/>
      <c r="Q130" s="23"/>
      <c r="R130" s="23"/>
      <c r="S130" s="23"/>
      <c r="T130" s="23"/>
      <c r="U130" s="96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ht="15.7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96"/>
      <c r="M131" s="23"/>
      <c r="N131" s="23"/>
      <c r="O131" s="23"/>
      <c r="P131" s="23"/>
      <c r="Q131" s="23"/>
      <c r="R131" s="23"/>
      <c r="S131" s="23"/>
      <c r="T131" s="23"/>
      <c r="U131" s="96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ht="15.7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96"/>
      <c r="M132" s="23"/>
      <c r="N132" s="23"/>
      <c r="O132" s="23"/>
      <c r="P132" s="23"/>
      <c r="Q132" s="23"/>
      <c r="R132" s="23"/>
      <c r="S132" s="23"/>
      <c r="T132" s="23"/>
      <c r="U132" s="96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ht="15.7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96"/>
      <c r="M133" s="23"/>
      <c r="N133" s="23"/>
      <c r="O133" s="23"/>
      <c r="P133" s="23"/>
      <c r="Q133" s="23"/>
      <c r="R133" s="23"/>
      <c r="S133" s="23"/>
      <c r="T133" s="23"/>
      <c r="U133" s="96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ht="15.7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96"/>
      <c r="M134" s="23"/>
      <c r="N134" s="23"/>
      <c r="O134" s="23"/>
      <c r="P134" s="23"/>
      <c r="Q134" s="23"/>
      <c r="R134" s="23"/>
      <c r="S134" s="23"/>
      <c r="T134" s="23"/>
      <c r="U134" s="96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ht="15.7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96"/>
      <c r="M135" s="23"/>
      <c r="N135" s="23"/>
      <c r="O135" s="23"/>
      <c r="P135" s="23"/>
      <c r="Q135" s="23"/>
      <c r="R135" s="23"/>
      <c r="S135" s="23"/>
      <c r="T135" s="23"/>
      <c r="U135" s="96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ht="15.7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96"/>
      <c r="M136" s="23"/>
      <c r="N136" s="23"/>
      <c r="O136" s="23"/>
      <c r="P136" s="23"/>
      <c r="Q136" s="23"/>
      <c r="R136" s="23"/>
      <c r="S136" s="23"/>
      <c r="T136" s="23"/>
      <c r="U136" s="96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ht="15.7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96"/>
      <c r="M137" s="23"/>
      <c r="N137" s="23"/>
      <c r="O137" s="23"/>
      <c r="P137" s="23"/>
      <c r="Q137" s="23"/>
      <c r="R137" s="23"/>
      <c r="S137" s="23"/>
      <c r="T137" s="23"/>
      <c r="U137" s="96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ht="15.7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96"/>
      <c r="M138" s="23"/>
      <c r="N138" s="23"/>
      <c r="O138" s="23"/>
      <c r="P138" s="23"/>
      <c r="Q138" s="23"/>
      <c r="R138" s="23"/>
      <c r="S138" s="23"/>
      <c r="T138" s="23"/>
      <c r="U138" s="96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ht="15.7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96"/>
      <c r="M139" s="23"/>
      <c r="N139" s="23"/>
      <c r="O139" s="23"/>
      <c r="P139" s="23"/>
      <c r="Q139" s="23"/>
      <c r="R139" s="23"/>
      <c r="S139" s="23"/>
      <c r="T139" s="23"/>
      <c r="U139" s="96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ht="15.7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96"/>
      <c r="M140" s="23"/>
      <c r="N140" s="23"/>
      <c r="O140" s="23"/>
      <c r="P140" s="23"/>
      <c r="Q140" s="23"/>
      <c r="R140" s="23"/>
      <c r="S140" s="23"/>
      <c r="T140" s="23"/>
      <c r="U140" s="96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ht="15.7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96"/>
      <c r="M141" s="23"/>
      <c r="N141" s="23"/>
      <c r="O141" s="23"/>
      <c r="P141" s="23"/>
      <c r="Q141" s="23"/>
      <c r="R141" s="23"/>
      <c r="S141" s="23"/>
      <c r="T141" s="23"/>
      <c r="U141" s="96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ht="15.7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96"/>
      <c r="M142" s="23"/>
      <c r="N142" s="23"/>
      <c r="O142" s="23"/>
      <c r="P142" s="23"/>
      <c r="Q142" s="23"/>
      <c r="R142" s="23"/>
      <c r="S142" s="23"/>
      <c r="T142" s="23"/>
      <c r="U142" s="96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ht="15.7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96"/>
      <c r="M143" s="23"/>
      <c r="N143" s="23"/>
      <c r="O143" s="23"/>
      <c r="P143" s="23"/>
      <c r="Q143" s="23"/>
      <c r="R143" s="23"/>
      <c r="S143" s="23"/>
      <c r="T143" s="23"/>
      <c r="U143" s="96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ht="15.7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96"/>
      <c r="M144" s="23"/>
      <c r="N144" s="23"/>
      <c r="O144" s="23"/>
      <c r="P144" s="23"/>
      <c r="Q144" s="23"/>
      <c r="R144" s="23"/>
      <c r="S144" s="23"/>
      <c r="T144" s="23"/>
      <c r="U144" s="96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ht="15.7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96"/>
      <c r="M145" s="23"/>
      <c r="N145" s="23"/>
      <c r="O145" s="23"/>
      <c r="P145" s="23"/>
      <c r="Q145" s="23"/>
      <c r="R145" s="23"/>
      <c r="S145" s="23"/>
      <c r="T145" s="23"/>
      <c r="U145" s="96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ht="15.7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96"/>
      <c r="M146" s="23"/>
      <c r="N146" s="23"/>
      <c r="O146" s="23"/>
      <c r="P146" s="23"/>
      <c r="Q146" s="23"/>
      <c r="R146" s="23"/>
      <c r="S146" s="23"/>
      <c r="T146" s="23"/>
      <c r="U146" s="96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ht="15.7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96"/>
      <c r="M147" s="23"/>
      <c r="N147" s="23"/>
      <c r="O147" s="23"/>
      <c r="P147" s="23"/>
      <c r="Q147" s="23"/>
      <c r="R147" s="23"/>
      <c r="S147" s="23"/>
      <c r="T147" s="23"/>
      <c r="U147" s="96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ht="15.7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96"/>
      <c r="M148" s="23"/>
      <c r="N148" s="23"/>
      <c r="O148" s="23"/>
      <c r="P148" s="23"/>
      <c r="Q148" s="23"/>
      <c r="R148" s="23"/>
      <c r="S148" s="23"/>
      <c r="T148" s="23"/>
      <c r="U148" s="96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ht="15.7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96"/>
      <c r="M149" s="23"/>
      <c r="N149" s="23"/>
      <c r="O149" s="23"/>
      <c r="P149" s="23"/>
      <c r="Q149" s="23"/>
      <c r="R149" s="23"/>
      <c r="S149" s="23"/>
      <c r="T149" s="23"/>
      <c r="U149" s="96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ht="15.7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96"/>
      <c r="M150" s="23"/>
      <c r="N150" s="23"/>
      <c r="O150" s="23"/>
      <c r="P150" s="23"/>
      <c r="Q150" s="23"/>
      <c r="R150" s="23"/>
      <c r="S150" s="23"/>
      <c r="T150" s="23"/>
      <c r="U150" s="96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ht="15.7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96"/>
      <c r="M151" s="23"/>
      <c r="N151" s="23"/>
      <c r="O151" s="23"/>
      <c r="P151" s="23"/>
      <c r="Q151" s="23"/>
      <c r="R151" s="23"/>
      <c r="S151" s="23"/>
      <c r="T151" s="23"/>
      <c r="U151" s="96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ht="15.7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96"/>
      <c r="M152" s="23"/>
      <c r="N152" s="23"/>
      <c r="O152" s="23"/>
      <c r="P152" s="23"/>
      <c r="Q152" s="23"/>
      <c r="R152" s="23"/>
      <c r="S152" s="23"/>
      <c r="T152" s="23"/>
      <c r="U152" s="96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ht="15.7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96"/>
      <c r="M153" s="23"/>
      <c r="N153" s="23"/>
      <c r="O153" s="23"/>
      <c r="P153" s="23"/>
      <c r="Q153" s="23"/>
      <c r="R153" s="23"/>
      <c r="S153" s="23"/>
      <c r="T153" s="23"/>
      <c r="U153" s="96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ht="15.7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96"/>
      <c r="M154" s="23"/>
      <c r="N154" s="23"/>
      <c r="O154" s="23"/>
      <c r="P154" s="23"/>
      <c r="Q154" s="23"/>
      <c r="R154" s="23"/>
      <c r="S154" s="23"/>
      <c r="T154" s="23"/>
      <c r="U154" s="96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ht="15.7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96"/>
      <c r="M155" s="23"/>
      <c r="N155" s="23"/>
      <c r="O155" s="23"/>
      <c r="P155" s="23"/>
      <c r="Q155" s="23"/>
      <c r="R155" s="23"/>
      <c r="S155" s="23"/>
      <c r="T155" s="23"/>
      <c r="U155" s="96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ht="15.7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96"/>
      <c r="M156" s="23"/>
      <c r="N156" s="23"/>
      <c r="O156" s="23"/>
      <c r="P156" s="23"/>
      <c r="Q156" s="23"/>
      <c r="R156" s="23"/>
      <c r="S156" s="23"/>
      <c r="T156" s="23"/>
      <c r="U156" s="96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ht="15.7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96"/>
      <c r="M157" s="23"/>
      <c r="N157" s="23"/>
      <c r="O157" s="23"/>
      <c r="P157" s="23"/>
      <c r="Q157" s="23"/>
      <c r="R157" s="23"/>
      <c r="S157" s="23"/>
      <c r="T157" s="23"/>
      <c r="U157" s="96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ht="15.7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96"/>
      <c r="M158" s="23"/>
      <c r="N158" s="23"/>
      <c r="O158" s="23"/>
      <c r="P158" s="23"/>
      <c r="Q158" s="23"/>
      <c r="R158" s="23"/>
      <c r="S158" s="23"/>
      <c r="T158" s="23"/>
      <c r="U158" s="96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ht="15.7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96"/>
      <c r="M159" s="23"/>
      <c r="N159" s="23"/>
      <c r="O159" s="23"/>
      <c r="P159" s="23"/>
      <c r="Q159" s="23"/>
      <c r="R159" s="23"/>
      <c r="S159" s="23"/>
      <c r="T159" s="23"/>
      <c r="U159" s="96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ht="15.7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96"/>
      <c r="M160" s="23"/>
      <c r="N160" s="23"/>
      <c r="O160" s="23"/>
      <c r="P160" s="23"/>
      <c r="Q160" s="23"/>
      <c r="R160" s="23"/>
      <c r="S160" s="23"/>
      <c r="T160" s="23"/>
      <c r="U160" s="96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ht="15.7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96"/>
      <c r="M161" s="23"/>
      <c r="N161" s="23"/>
      <c r="O161" s="23"/>
      <c r="P161" s="23"/>
      <c r="Q161" s="23"/>
      <c r="R161" s="23"/>
      <c r="S161" s="23"/>
      <c r="T161" s="23"/>
      <c r="U161" s="96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ht="15.7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96"/>
      <c r="M162" s="23"/>
      <c r="N162" s="23"/>
      <c r="O162" s="23"/>
      <c r="P162" s="23"/>
      <c r="Q162" s="23"/>
      <c r="R162" s="23"/>
      <c r="S162" s="23"/>
      <c r="T162" s="23"/>
      <c r="U162" s="96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ht="15.7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96"/>
      <c r="M163" s="23"/>
      <c r="N163" s="23"/>
      <c r="O163" s="23"/>
      <c r="P163" s="23"/>
      <c r="Q163" s="23"/>
      <c r="R163" s="23"/>
      <c r="S163" s="23"/>
      <c r="T163" s="23"/>
      <c r="U163" s="96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ht="15.7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96"/>
      <c r="M164" s="23"/>
      <c r="N164" s="23"/>
      <c r="O164" s="23"/>
      <c r="P164" s="23"/>
      <c r="Q164" s="23"/>
      <c r="R164" s="23"/>
      <c r="S164" s="23"/>
      <c r="T164" s="23"/>
      <c r="U164" s="96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ht="15.7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96"/>
      <c r="M165" s="23"/>
      <c r="N165" s="23"/>
      <c r="O165" s="23"/>
      <c r="P165" s="23"/>
      <c r="Q165" s="23"/>
      <c r="R165" s="23"/>
      <c r="S165" s="23"/>
      <c r="T165" s="23"/>
      <c r="U165" s="96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ht="15.7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96"/>
      <c r="M166" s="23"/>
      <c r="N166" s="23"/>
      <c r="O166" s="23"/>
      <c r="P166" s="23"/>
      <c r="Q166" s="23"/>
      <c r="R166" s="23"/>
      <c r="S166" s="23"/>
      <c r="T166" s="23"/>
      <c r="U166" s="9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ht="15.7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96"/>
      <c r="M167" s="23"/>
      <c r="N167" s="23"/>
      <c r="O167" s="23"/>
      <c r="P167" s="23"/>
      <c r="Q167" s="23"/>
      <c r="R167" s="23"/>
      <c r="S167" s="23"/>
      <c r="T167" s="23"/>
      <c r="U167" s="9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ht="15.7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96"/>
      <c r="M168" s="23"/>
      <c r="N168" s="23"/>
      <c r="O168" s="23"/>
      <c r="P168" s="23"/>
      <c r="Q168" s="23"/>
      <c r="R168" s="23"/>
      <c r="S168" s="23"/>
      <c r="T168" s="23"/>
      <c r="U168" s="9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ht="15.7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96"/>
      <c r="M169" s="23"/>
      <c r="N169" s="23"/>
      <c r="O169" s="23"/>
      <c r="P169" s="23"/>
      <c r="Q169" s="23"/>
      <c r="R169" s="23"/>
      <c r="S169" s="23"/>
      <c r="T169" s="23"/>
      <c r="U169" s="96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ht="15.7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96"/>
      <c r="M170" s="23"/>
      <c r="N170" s="23"/>
      <c r="O170" s="23"/>
      <c r="P170" s="23"/>
      <c r="Q170" s="23"/>
      <c r="R170" s="23"/>
      <c r="S170" s="23"/>
      <c r="T170" s="23"/>
      <c r="U170" s="9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ht="15.7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96"/>
      <c r="M171" s="23"/>
      <c r="N171" s="23"/>
      <c r="O171" s="23"/>
      <c r="P171" s="23"/>
      <c r="Q171" s="23"/>
      <c r="R171" s="23"/>
      <c r="S171" s="23"/>
      <c r="T171" s="23"/>
      <c r="U171" s="96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ht="15.7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96"/>
      <c r="M172" s="23"/>
      <c r="N172" s="23"/>
      <c r="O172" s="23"/>
      <c r="P172" s="23"/>
      <c r="Q172" s="23"/>
      <c r="R172" s="23"/>
      <c r="S172" s="23"/>
      <c r="T172" s="23"/>
      <c r="U172" s="96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ht="15.7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96"/>
      <c r="M173" s="23"/>
      <c r="N173" s="23"/>
      <c r="O173" s="23"/>
      <c r="P173" s="23"/>
      <c r="Q173" s="23"/>
      <c r="R173" s="23"/>
      <c r="S173" s="23"/>
      <c r="T173" s="23"/>
      <c r="U173" s="96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ht="15.7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96"/>
      <c r="M174" s="23"/>
      <c r="N174" s="23"/>
      <c r="O174" s="23"/>
      <c r="P174" s="23"/>
      <c r="Q174" s="23"/>
      <c r="R174" s="23"/>
      <c r="S174" s="23"/>
      <c r="T174" s="23"/>
      <c r="U174" s="96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ht="15.7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96"/>
      <c r="M175" s="23"/>
      <c r="N175" s="23"/>
      <c r="O175" s="23"/>
      <c r="P175" s="23"/>
      <c r="Q175" s="23"/>
      <c r="R175" s="23"/>
      <c r="S175" s="23"/>
      <c r="T175" s="23"/>
      <c r="U175" s="96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ht="15.7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96"/>
      <c r="M176" s="23"/>
      <c r="N176" s="23"/>
      <c r="O176" s="23"/>
      <c r="P176" s="23"/>
      <c r="Q176" s="23"/>
      <c r="R176" s="23"/>
      <c r="S176" s="23"/>
      <c r="T176" s="23"/>
      <c r="U176" s="96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ht="15.7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96"/>
      <c r="M177" s="23"/>
      <c r="N177" s="23"/>
      <c r="O177" s="23"/>
      <c r="P177" s="23"/>
      <c r="Q177" s="23"/>
      <c r="R177" s="23"/>
      <c r="S177" s="23"/>
      <c r="T177" s="23"/>
      <c r="U177" s="96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ht="15.7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96"/>
      <c r="M178" s="23"/>
      <c r="N178" s="23"/>
      <c r="O178" s="23"/>
      <c r="P178" s="23"/>
      <c r="Q178" s="23"/>
      <c r="R178" s="23"/>
      <c r="S178" s="23"/>
      <c r="T178" s="23"/>
      <c r="U178" s="96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ht="15.7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96"/>
      <c r="M179" s="23"/>
      <c r="N179" s="23"/>
      <c r="O179" s="23"/>
      <c r="P179" s="23"/>
      <c r="Q179" s="23"/>
      <c r="R179" s="23"/>
      <c r="S179" s="23"/>
      <c r="T179" s="23"/>
      <c r="U179" s="96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ht="15.7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96"/>
      <c r="M180" s="23"/>
      <c r="N180" s="23"/>
      <c r="O180" s="23"/>
      <c r="P180" s="23"/>
      <c r="Q180" s="23"/>
      <c r="R180" s="23"/>
      <c r="S180" s="23"/>
      <c r="T180" s="23"/>
      <c r="U180" s="96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ht="15.7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96"/>
      <c r="M181" s="23"/>
      <c r="N181" s="23"/>
      <c r="O181" s="23"/>
      <c r="P181" s="23"/>
      <c r="Q181" s="23"/>
      <c r="R181" s="23"/>
      <c r="S181" s="23"/>
      <c r="T181" s="23"/>
      <c r="U181" s="96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ht="15.7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96"/>
      <c r="M182" s="23"/>
      <c r="N182" s="23"/>
      <c r="O182" s="23"/>
      <c r="P182" s="23"/>
      <c r="Q182" s="23"/>
      <c r="R182" s="23"/>
      <c r="S182" s="23"/>
      <c r="T182" s="23"/>
      <c r="U182" s="96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ht="15.7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96"/>
      <c r="M183" s="23"/>
      <c r="N183" s="23"/>
      <c r="O183" s="23"/>
      <c r="P183" s="23"/>
      <c r="Q183" s="23"/>
      <c r="R183" s="23"/>
      <c r="S183" s="23"/>
      <c r="T183" s="23"/>
      <c r="U183" s="96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ht="15.7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96"/>
      <c r="M184" s="23"/>
      <c r="N184" s="23"/>
      <c r="O184" s="23"/>
      <c r="P184" s="23"/>
      <c r="Q184" s="23"/>
      <c r="R184" s="23"/>
      <c r="S184" s="23"/>
      <c r="T184" s="23"/>
      <c r="U184" s="96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ht="15.7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96"/>
      <c r="M185" s="23"/>
      <c r="N185" s="23"/>
      <c r="O185" s="23"/>
      <c r="P185" s="23"/>
      <c r="Q185" s="23"/>
      <c r="R185" s="23"/>
      <c r="S185" s="23"/>
      <c r="T185" s="23"/>
      <c r="U185" s="96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ht="15.7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96"/>
      <c r="M186" s="23"/>
      <c r="N186" s="23"/>
      <c r="O186" s="23"/>
      <c r="P186" s="23"/>
      <c r="Q186" s="23"/>
      <c r="R186" s="23"/>
      <c r="S186" s="23"/>
      <c r="T186" s="23"/>
      <c r="U186" s="96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ht="15.7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96"/>
      <c r="M187" s="23"/>
      <c r="N187" s="23"/>
      <c r="O187" s="23"/>
      <c r="P187" s="23"/>
      <c r="Q187" s="23"/>
      <c r="R187" s="23"/>
      <c r="S187" s="23"/>
      <c r="T187" s="23"/>
      <c r="U187" s="96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ht="15.7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96"/>
      <c r="M188" s="23"/>
      <c r="N188" s="23"/>
      <c r="O188" s="23"/>
      <c r="P188" s="23"/>
      <c r="Q188" s="23"/>
      <c r="R188" s="23"/>
      <c r="S188" s="23"/>
      <c r="T188" s="23"/>
      <c r="U188" s="96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ht="15.7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96"/>
      <c r="M189" s="23"/>
      <c r="N189" s="23"/>
      <c r="O189" s="23"/>
      <c r="P189" s="23"/>
      <c r="Q189" s="23"/>
      <c r="R189" s="23"/>
      <c r="S189" s="23"/>
      <c r="T189" s="23"/>
      <c r="U189" s="96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ht="15.7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96"/>
      <c r="M190" s="23"/>
      <c r="N190" s="23"/>
      <c r="O190" s="23"/>
      <c r="P190" s="23"/>
      <c r="Q190" s="23"/>
      <c r="R190" s="23"/>
      <c r="S190" s="23"/>
      <c r="T190" s="23"/>
      <c r="U190" s="96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ht="15.7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96"/>
      <c r="M191" s="23"/>
      <c r="N191" s="23"/>
      <c r="O191" s="23"/>
      <c r="P191" s="23"/>
      <c r="Q191" s="23"/>
      <c r="R191" s="23"/>
      <c r="S191" s="23"/>
      <c r="T191" s="23"/>
      <c r="U191" s="96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ht="15.7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96"/>
      <c r="M192" s="23"/>
      <c r="N192" s="23"/>
      <c r="O192" s="23"/>
      <c r="P192" s="23"/>
      <c r="Q192" s="23"/>
      <c r="R192" s="23"/>
      <c r="S192" s="23"/>
      <c r="T192" s="23"/>
      <c r="U192" s="96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ht="15.7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96"/>
      <c r="M193" s="23"/>
      <c r="N193" s="23"/>
      <c r="O193" s="23"/>
      <c r="P193" s="23"/>
      <c r="Q193" s="23"/>
      <c r="R193" s="23"/>
      <c r="S193" s="23"/>
      <c r="T193" s="23"/>
      <c r="U193" s="96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ht="15.7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96"/>
      <c r="M194" s="23"/>
      <c r="N194" s="23"/>
      <c r="O194" s="23"/>
      <c r="P194" s="23"/>
      <c r="Q194" s="23"/>
      <c r="R194" s="23"/>
      <c r="S194" s="23"/>
      <c r="T194" s="23"/>
      <c r="U194" s="96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ht="15.7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96"/>
      <c r="M195" s="23"/>
      <c r="N195" s="23"/>
      <c r="O195" s="23"/>
      <c r="P195" s="23"/>
      <c r="Q195" s="23"/>
      <c r="R195" s="23"/>
      <c r="S195" s="23"/>
      <c r="T195" s="23"/>
      <c r="U195" s="96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ht="15.7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96"/>
      <c r="M196" s="23"/>
      <c r="N196" s="23"/>
      <c r="O196" s="23"/>
      <c r="P196" s="23"/>
      <c r="Q196" s="23"/>
      <c r="R196" s="23"/>
      <c r="S196" s="23"/>
      <c r="T196" s="23"/>
      <c r="U196" s="96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ht="15.7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96"/>
      <c r="M197" s="23"/>
      <c r="N197" s="23"/>
      <c r="O197" s="23"/>
      <c r="P197" s="23"/>
      <c r="Q197" s="23"/>
      <c r="R197" s="23"/>
      <c r="S197" s="23"/>
      <c r="T197" s="23"/>
      <c r="U197" s="96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ht="15.7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96"/>
      <c r="M198" s="23"/>
      <c r="N198" s="23"/>
      <c r="O198" s="23"/>
      <c r="P198" s="23"/>
      <c r="Q198" s="23"/>
      <c r="R198" s="23"/>
      <c r="S198" s="23"/>
      <c r="T198" s="23"/>
      <c r="U198" s="96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ht="15.7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96"/>
      <c r="M199" s="23"/>
      <c r="N199" s="23"/>
      <c r="O199" s="23"/>
      <c r="P199" s="23"/>
      <c r="Q199" s="23"/>
      <c r="R199" s="23"/>
      <c r="S199" s="23"/>
      <c r="T199" s="23"/>
      <c r="U199" s="96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ht="15.7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96"/>
      <c r="M200" s="23"/>
      <c r="N200" s="23"/>
      <c r="O200" s="23"/>
      <c r="P200" s="23"/>
      <c r="Q200" s="23"/>
      <c r="R200" s="23"/>
      <c r="S200" s="23"/>
      <c r="T200" s="23"/>
      <c r="U200" s="96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ht="15.7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96"/>
      <c r="M201" s="23"/>
      <c r="N201" s="23"/>
      <c r="O201" s="23"/>
      <c r="P201" s="23"/>
      <c r="Q201" s="23"/>
      <c r="R201" s="23"/>
      <c r="S201" s="23"/>
      <c r="T201" s="23"/>
      <c r="U201" s="96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ht="15.7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96"/>
      <c r="M202" s="23"/>
      <c r="N202" s="23"/>
      <c r="O202" s="23"/>
      <c r="P202" s="23"/>
      <c r="Q202" s="23"/>
      <c r="R202" s="23"/>
      <c r="S202" s="23"/>
      <c r="T202" s="23"/>
      <c r="U202" s="96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ht="15.7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96"/>
      <c r="M203" s="23"/>
      <c r="N203" s="23"/>
      <c r="O203" s="23"/>
      <c r="P203" s="23"/>
      <c r="Q203" s="23"/>
      <c r="R203" s="23"/>
      <c r="S203" s="23"/>
      <c r="T203" s="23"/>
      <c r="U203" s="96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ht="15.7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96"/>
      <c r="M204" s="23"/>
      <c r="N204" s="23"/>
      <c r="O204" s="23"/>
      <c r="P204" s="23"/>
      <c r="Q204" s="23"/>
      <c r="R204" s="23"/>
      <c r="S204" s="23"/>
      <c r="T204" s="23"/>
      <c r="U204" s="96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ht="15.7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96"/>
      <c r="M205" s="23"/>
      <c r="N205" s="23"/>
      <c r="O205" s="23"/>
      <c r="P205" s="23"/>
      <c r="Q205" s="23"/>
      <c r="R205" s="23"/>
      <c r="S205" s="23"/>
      <c r="T205" s="23"/>
      <c r="U205" s="96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ht="15.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96"/>
      <c r="M206" s="23"/>
      <c r="N206" s="23"/>
      <c r="O206" s="23"/>
      <c r="P206" s="23"/>
      <c r="Q206" s="23"/>
      <c r="R206" s="23"/>
      <c r="S206" s="23"/>
      <c r="T206" s="23"/>
      <c r="U206" s="96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ht="15.7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96"/>
      <c r="M207" s="23"/>
      <c r="N207" s="23"/>
      <c r="O207" s="23"/>
      <c r="P207" s="23"/>
      <c r="Q207" s="23"/>
      <c r="R207" s="23"/>
      <c r="S207" s="23"/>
      <c r="T207" s="23"/>
      <c r="U207" s="96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ht="15.7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96"/>
      <c r="M208" s="23"/>
      <c r="N208" s="23"/>
      <c r="O208" s="23"/>
      <c r="P208" s="23"/>
      <c r="Q208" s="23"/>
      <c r="R208" s="23"/>
      <c r="S208" s="23"/>
      <c r="T208" s="23"/>
      <c r="U208" s="96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ht="15.7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96"/>
      <c r="M209" s="23"/>
      <c r="N209" s="23"/>
      <c r="O209" s="23"/>
      <c r="P209" s="23"/>
      <c r="Q209" s="23"/>
      <c r="R209" s="23"/>
      <c r="S209" s="23"/>
      <c r="T209" s="23"/>
      <c r="U209" s="96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ht="15.7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96"/>
      <c r="M210" s="23"/>
      <c r="N210" s="23"/>
      <c r="O210" s="23"/>
      <c r="P210" s="23"/>
      <c r="Q210" s="23"/>
      <c r="R210" s="23"/>
      <c r="S210" s="23"/>
      <c r="T210" s="23"/>
      <c r="U210" s="96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ht="15.7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96"/>
      <c r="M211" s="23"/>
      <c r="N211" s="23"/>
      <c r="O211" s="23"/>
      <c r="P211" s="23"/>
      <c r="Q211" s="23"/>
      <c r="R211" s="23"/>
      <c r="S211" s="23"/>
      <c r="T211" s="23"/>
      <c r="U211" s="96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ht="15.7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96"/>
      <c r="M212" s="23"/>
      <c r="N212" s="23"/>
      <c r="O212" s="23"/>
      <c r="P212" s="23"/>
      <c r="Q212" s="23"/>
      <c r="R212" s="23"/>
      <c r="S212" s="23"/>
      <c r="T212" s="23"/>
      <c r="U212" s="96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ht="15.7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96"/>
      <c r="M213" s="23"/>
      <c r="N213" s="23"/>
      <c r="O213" s="23"/>
      <c r="P213" s="23"/>
      <c r="Q213" s="23"/>
      <c r="R213" s="23"/>
      <c r="S213" s="23"/>
      <c r="T213" s="23"/>
      <c r="U213" s="96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ht="15.7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96"/>
      <c r="M214" s="23"/>
      <c r="N214" s="23"/>
      <c r="O214" s="23"/>
      <c r="P214" s="23"/>
      <c r="Q214" s="23"/>
      <c r="R214" s="23"/>
      <c r="S214" s="23"/>
      <c r="T214" s="23"/>
      <c r="U214" s="96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ht="15.7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96"/>
      <c r="M215" s="23"/>
      <c r="N215" s="23"/>
      <c r="O215" s="23"/>
      <c r="P215" s="23"/>
      <c r="Q215" s="23"/>
      <c r="R215" s="23"/>
      <c r="S215" s="23"/>
      <c r="T215" s="23"/>
      <c r="U215" s="96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ht="15.7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96"/>
      <c r="M216" s="23"/>
      <c r="N216" s="23"/>
      <c r="O216" s="23"/>
      <c r="P216" s="23"/>
      <c r="Q216" s="23"/>
      <c r="R216" s="23"/>
      <c r="S216" s="23"/>
      <c r="T216" s="23"/>
      <c r="U216" s="96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ht="15.7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96"/>
      <c r="M217" s="23"/>
      <c r="N217" s="23"/>
      <c r="O217" s="23"/>
      <c r="P217" s="23"/>
      <c r="Q217" s="23"/>
      <c r="R217" s="23"/>
      <c r="S217" s="23"/>
      <c r="T217" s="23"/>
      <c r="U217" s="96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ht="15.7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96"/>
      <c r="M218" s="23"/>
      <c r="N218" s="23"/>
      <c r="O218" s="23"/>
      <c r="P218" s="23"/>
      <c r="Q218" s="23"/>
      <c r="R218" s="23"/>
      <c r="S218" s="23"/>
      <c r="T218" s="23"/>
      <c r="U218" s="96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ht="15.7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96"/>
      <c r="M219" s="23"/>
      <c r="N219" s="23"/>
      <c r="O219" s="23"/>
      <c r="P219" s="23"/>
      <c r="Q219" s="23"/>
      <c r="R219" s="23"/>
      <c r="S219" s="23"/>
      <c r="T219" s="23"/>
      <c r="U219" s="96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ht="15.7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96"/>
      <c r="M220" s="23"/>
      <c r="N220" s="23"/>
      <c r="O220" s="23"/>
      <c r="P220" s="23"/>
      <c r="Q220" s="23"/>
      <c r="R220" s="23"/>
      <c r="S220" s="23"/>
      <c r="T220" s="23"/>
      <c r="U220" s="96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ht="15.7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96"/>
      <c r="M221" s="23"/>
      <c r="N221" s="23"/>
      <c r="O221" s="23"/>
      <c r="P221" s="23"/>
      <c r="Q221" s="23"/>
      <c r="R221" s="23"/>
      <c r="S221" s="23"/>
      <c r="T221" s="23"/>
      <c r="U221" s="96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ht="15.7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96"/>
      <c r="M222" s="23"/>
      <c r="N222" s="23"/>
      <c r="O222" s="23"/>
      <c r="P222" s="23"/>
      <c r="Q222" s="23"/>
      <c r="R222" s="23"/>
      <c r="S222" s="23"/>
      <c r="T222" s="23"/>
      <c r="U222" s="96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ht="15.7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96"/>
      <c r="M223" s="23"/>
      <c r="N223" s="23"/>
      <c r="O223" s="23"/>
      <c r="P223" s="23"/>
      <c r="Q223" s="23"/>
      <c r="R223" s="23"/>
      <c r="S223" s="23"/>
      <c r="T223" s="23"/>
      <c r="U223" s="96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ht="15.7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96"/>
      <c r="M224" s="23"/>
      <c r="N224" s="23"/>
      <c r="O224" s="23"/>
      <c r="P224" s="23"/>
      <c r="Q224" s="23"/>
      <c r="R224" s="23"/>
      <c r="S224" s="23"/>
      <c r="T224" s="23"/>
      <c r="U224" s="96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ht="15.7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96"/>
      <c r="M225" s="23"/>
      <c r="N225" s="23"/>
      <c r="O225" s="23"/>
      <c r="P225" s="23"/>
      <c r="Q225" s="23"/>
      <c r="R225" s="23"/>
      <c r="S225" s="23"/>
      <c r="T225" s="23"/>
      <c r="U225" s="96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ht="15.7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96"/>
      <c r="M226" s="23"/>
      <c r="N226" s="23"/>
      <c r="O226" s="23"/>
      <c r="P226" s="23"/>
      <c r="Q226" s="23"/>
      <c r="R226" s="23"/>
      <c r="S226" s="23"/>
      <c r="T226" s="23"/>
      <c r="U226" s="96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ht="15.7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96"/>
      <c r="M227" s="23"/>
      <c r="N227" s="23"/>
      <c r="O227" s="23"/>
      <c r="P227" s="23"/>
      <c r="Q227" s="23"/>
      <c r="R227" s="23"/>
      <c r="S227" s="23"/>
      <c r="T227" s="23"/>
      <c r="U227" s="96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ht="15.7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96"/>
      <c r="M228" s="23"/>
      <c r="N228" s="23"/>
      <c r="O228" s="23"/>
      <c r="P228" s="23"/>
      <c r="Q228" s="23"/>
      <c r="R228" s="23"/>
      <c r="S228" s="23"/>
      <c r="T228" s="23"/>
      <c r="U228" s="96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ht="15.7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96"/>
      <c r="M229" s="23"/>
      <c r="N229" s="23"/>
      <c r="O229" s="23"/>
      <c r="P229" s="23"/>
      <c r="Q229" s="23"/>
      <c r="R229" s="23"/>
      <c r="S229" s="23"/>
      <c r="T229" s="23"/>
      <c r="U229" s="96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ht="15.7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96"/>
      <c r="M230" s="23"/>
      <c r="N230" s="23"/>
      <c r="O230" s="23"/>
      <c r="P230" s="23"/>
      <c r="Q230" s="23"/>
      <c r="R230" s="23"/>
      <c r="S230" s="23"/>
      <c r="T230" s="23"/>
      <c r="U230" s="96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ht="15.7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96"/>
      <c r="M231" s="23"/>
      <c r="N231" s="23"/>
      <c r="O231" s="23"/>
      <c r="P231" s="23"/>
      <c r="Q231" s="23"/>
      <c r="R231" s="23"/>
      <c r="S231" s="23"/>
      <c r="T231" s="23"/>
      <c r="U231" s="96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ht="15.7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96"/>
      <c r="M232" s="23"/>
      <c r="N232" s="23"/>
      <c r="O232" s="23"/>
      <c r="P232" s="23"/>
      <c r="Q232" s="23"/>
      <c r="R232" s="23"/>
      <c r="S232" s="23"/>
      <c r="T232" s="23"/>
      <c r="U232" s="96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ht="15.7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96"/>
      <c r="M233" s="23"/>
      <c r="N233" s="23"/>
      <c r="O233" s="23"/>
      <c r="P233" s="23"/>
      <c r="Q233" s="23"/>
      <c r="R233" s="23"/>
      <c r="S233" s="23"/>
      <c r="T233" s="23"/>
      <c r="U233" s="96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ht="15.7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96"/>
      <c r="M234" s="23"/>
      <c r="N234" s="23"/>
      <c r="O234" s="23"/>
      <c r="P234" s="23"/>
      <c r="Q234" s="23"/>
      <c r="R234" s="23"/>
      <c r="S234" s="23"/>
      <c r="T234" s="23"/>
      <c r="U234" s="96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ht="15.7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96"/>
      <c r="M235" s="23"/>
      <c r="N235" s="23"/>
      <c r="O235" s="23"/>
      <c r="P235" s="23"/>
      <c r="Q235" s="23"/>
      <c r="R235" s="23"/>
      <c r="S235" s="23"/>
      <c r="T235" s="23"/>
      <c r="U235" s="96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ht="15.7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96"/>
      <c r="M236" s="23"/>
      <c r="N236" s="23"/>
      <c r="O236" s="23"/>
      <c r="P236" s="23"/>
      <c r="Q236" s="23"/>
      <c r="R236" s="23"/>
      <c r="S236" s="23"/>
      <c r="T236" s="23"/>
      <c r="U236" s="9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ht="15.7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96"/>
      <c r="M237" s="23"/>
      <c r="N237" s="23"/>
      <c r="O237" s="23"/>
      <c r="P237" s="23"/>
      <c r="Q237" s="23"/>
      <c r="R237" s="23"/>
      <c r="S237" s="23"/>
      <c r="T237" s="23"/>
      <c r="U237" s="96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ht="15.7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96"/>
      <c r="M238" s="23"/>
      <c r="N238" s="23"/>
      <c r="O238" s="23"/>
      <c r="P238" s="23"/>
      <c r="Q238" s="23"/>
      <c r="R238" s="23"/>
      <c r="S238" s="23"/>
      <c r="T238" s="23"/>
      <c r="U238" s="96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ht="15.7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96"/>
      <c r="M239" s="23"/>
      <c r="N239" s="23"/>
      <c r="O239" s="23"/>
      <c r="P239" s="23"/>
      <c r="Q239" s="23"/>
      <c r="R239" s="23"/>
      <c r="S239" s="23"/>
      <c r="T239" s="23"/>
      <c r="U239" s="96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ht="15.7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96"/>
      <c r="M240" s="23"/>
      <c r="N240" s="23"/>
      <c r="O240" s="23"/>
      <c r="P240" s="23"/>
      <c r="Q240" s="23"/>
      <c r="R240" s="23"/>
      <c r="S240" s="23"/>
      <c r="T240" s="23"/>
      <c r="U240" s="96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ht="15.7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96"/>
      <c r="M241" s="23"/>
      <c r="N241" s="23"/>
      <c r="O241" s="23"/>
      <c r="P241" s="23"/>
      <c r="Q241" s="23"/>
      <c r="R241" s="23"/>
      <c r="S241" s="23"/>
      <c r="T241" s="23"/>
      <c r="U241" s="96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ht="15.7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96"/>
      <c r="M242" s="23"/>
      <c r="N242" s="23"/>
      <c r="O242" s="23"/>
      <c r="P242" s="23"/>
      <c r="Q242" s="23"/>
      <c r="R242" s="23"/>
      <c r="S242" s="23"/>
      <c r="T242" s="23"/>
      <c r="U242" s="96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ht="15.7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96"/>
      <c r="M243" s="23"/>
      <c r="N243" s="23"/>
      <c r="O243" s="23"/>
      <c r="P243" s="23"/>
      <c r="Q243" s="23"/>
      <c r="R243" s="23"/>
      <c r="S243" s="23"/>
      <c r="T243" s="23"/>
      <c r="U243" s="96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ht="15.7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96"/>
      <c r="M244" s="23"/>
      <c r="N244" s="23"/>
      <c r="O244" s="23"/>
      <c r="P244" s="23"/>
      <c r="Q244" s="23"/>
      <c r="R244" s="23"/>
      <c r="S244" s="23"/>
      <c r="T244" s="23"/>
      <c r="U244" s="96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ht="15.7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96"/>
      <c r="M245" s="23"/>
      <c r="N245" s="23"/>
      <c r="O245" s="23"/>
      <c r="P245" s="23"/>
      <c r="Q245" s="23"/>
      <c r="R245" s="23"/>
      <c r="S245" s="23"/>
      <c r="T245" s="23"/>
      <c r="U245" s="96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ht="15.7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96"/>
      <c r="M246" s="23"/>
      <c r="N246" s="23"/>
      <c r="O246" s="23"/>
      <c r="P246" s="23"/>
      <c r="Q246" s="23"/>
      <c r="R246" s="23"/>
      <c r="S246" s="23"/>
      <c r="T246" s="23"/>
      <c r="U246" s="96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ht="15.7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96"/>
      <c r="M247" s="23"/>
      <c r="N247" s="23"/>
      <c r="O247" s="23"/>
      <c r="P247" s="23"/>
      <c r="Q247" s="23"/>
      <c r="R247" s="23"/>
      <c r="S247" s="23"/>
      <c r="T247" s="23"/>
      <c r="U247" s="96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ht="15.7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96"/>
      <c r="M248" s="23"/>
      <c r="N248" s="23"/>
      <c r="O248" s="23"/>
      <c r="P248" s="23"/>
      <c r="Q248" s="23"/>
      <c r="R248" s="23"/>
      <c r="S248" s="23"/>
      <c r="T248" s="23"/>
      <c r="U248" s="96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ht="15.7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96"/>
      <c r="M249" s="23"/>
      <c r="N249" s="23"/>
      <c r="O249" s="23"/>
      <c r="P249" s="23"/>
      <c r="Q249" s="23"/>
      <c r="R249" s="23"/>
      <c r="S249" s="23"/>
      <c r="T249" s="23"/>
      <c r="U249" s="96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ht="15.7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96"/>
      <c r="M250" s="23"/>
      <c r="N250" s="23"/>
      <c r="O250" s="23"/>
      <c r="P250" s="23"/>
      <c r="Q250" s="23"/>
      <c r="R250" s="23"/>
      <c r="S250" s="23"/>
      <c r="T250" s="23"/>
      <c r="U250" s="96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ht="15.7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96"/>
      <c r="M251" s="23"/>
      <c r="N251" s="23"/>
      <c r="O251" s="23"/>
      <c r="P251" s="23"/>
      <c r="Q251" s="23"/>
      <c r="R251" s="23"/>
      <c r="S251" s="23"/>
      <c r="T251" s="23"/>
      <c r="U251" s="96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ht="15.7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96"/>
      <c r="M252" s="23"/>
      <c r="N252" s="23"/>
      <c r="O252" s="23"/>
      <c r="P252" s="23"/>
      <c r="Q252" s="23"/>
      <c r="R252" s="23"/>
      <c r="S252" s="23"/>
      <c r="T252" s="23"/>
      <c r="U252" s="96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ht="15.7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96"/>
      <c r="M253" s="23"/>
      <c r="N253" s="23"/>
      <c r="O253" s="23"/>
      <c r="P253" s="23"/>
      <c r="Q253" s="23"/>
      <c r="R253" s="23"/>
      <c r="S253" s="23"/>
      <c r="T253" s="23"/>
      <c r="U253" s="96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ht="15.7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96"/>
      <c r="M254" s="23"/>
      <c r="N254" s="23"/>
      <c r="O254" s="23"/>
      <c r="P254" s="23"/>
      <c r="Q254" s="23"/>
      <c r="R254" s="23"/>
      <c r="S254" s="23"/>
      <c r="T254" s="23"/>
      <c r="U254" s="96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ht="15.7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96"/>
      <c r="M255" s="23"/>
      <c r="N255" s="23"/>
      <c r="O255" s="23"/>
      <c r="P255" s="23"/>
      <c r="Q255" s="23"/>
      <c r="R255" s="23"/>
      <c r="S255" s="23"/>
      <c r="T255" s="23"/>
      <c r="U255" s="96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ht="15.7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96"/>
      <c r="M256" s="23"/>
      <c r="N256" s="23"/>
      <c r="O256" s="23"/>
      <c r="P256" s="23"/>
      <c r="Q256" s="23"/>
      <c r="R256" s="23"/>
      <c r="S256" s="23"/>
      <c r="T256" s="23"/>
      <c r="U256" s="96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ht="15.7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96"/>
      <c r="M257" s="23"/>
      <c r="N257" s="23"/>
      <c r="O257" s="23"/>
      <c r="P257" s="23"/>
      <c r="Q257" s="23"/>
      <c r="R257" s="23"/>
      <c r="S257" s="23"/>
      <c r="T257" s="23"/>
      <c r="U257" s="96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ht="15.7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96"/>
      <c r="M258" s="23"/>
      <c r="N258" s="23"/>
      <c r="O258" s="23"/>
      <c r="P258" s="23"/>
      <c r="Q258" s="23"/>
      <c r="R258" s="23"/>
      <c r="S258" s="23"/>
      <c r="T258" s="23"/>
      <c r="U258" s="96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ht="15.7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96"/>
      <c r="M259" s="23"/>
      <c r="N259" s="23"/>
      <c r="O259" s="23"/>
      <c r="P259" s="23"/>
      <c r="Q259" s="23"/>
      <c r="R259" s="23"/>
      <c r="S259" s="23"/>
      <c r="T259" s="23"/>
      <c r="U259" s="96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ht="15.7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96"/>
      <c r="M260" s="23"/>
      <c r="N260" s="23"/>
      <c r="O260" s="23"/>
      <c r="P260" s="23"/>
      <c r="Q260" s="23"/>
      <c r="R260" s="23"/>
      <c r="S260" s="23"/>
      <c r="T260" s="23"/>
      <c r="U260" s="96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ht="15.7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96"/>
      <c r="M261" s="23"/>
      <c r="N261" s="23"/>
      <c r="O261" s="23"/>
      <c r="P261" s="23"/>
      <c r="Q261" s="23"/>
      <c r="R261" s="23"/>
      <c r="S261" s="23"/>
      <c r="T261" s="23"/>
      <c r="U261" s="96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ht="15.7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96"/>
      <c r="M262" s="23"/>
      <c r="N262" s="23"/>
      <c r="O262" s="23"/>
      <c r="P262" s="23"/>
      <c r="Q262" s="23"/>
      <c r="R262" s="23"/>
      <c r="S262" s="23"/>
      <c r="T262" s="23"/>
      <c r="U262" s="96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ht="15.7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96"/>
      <c r="M263" s="23"/>
      <c r="N263" s="23"/>
      <c r="O263" s="23"/>
      <c r="P263" s="23"/>
      <c r="Q263" s="23"/>
      <c r="R263" s="23"/>
      <c r="S263" s="23"/>
      <c r="T263" s="23"/>
      <c r="U263" s="96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ht="15.7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96"/>
      <c r="M264" s="23"/>
      <c r="N264" s="23"/>
      <c r="O264" s="23"/>
      <c r="P264" s="23"/>
      <c r="Q264" s="23"/>
      <c r="R264" s="23"/>
      <c r="S264" s="23"/>
      <c r="T264" s="23"/>
      <c r="U264" s="96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ht="15.7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96"/>
      <c r="M265" s="23"/>
      <c r="N265" s="23"/>
      <c r="O265" s="23"/>
      <c r="P265" s="23"/>
      <c r="Q265" s="23"/>
      <c r="R265" s="23"/>
      <c r="S265" s="23"/>
      <c r="T265" s="23"/>
      <c r="U265" s="96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ht="15.7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96"/>
      <c r="M266" s="23"/>
      <c r="N266" s="23"/>
      <c r="O266" s="23"/>
      <c r="P266" s="23"/>
      <c r="Q266" s="23"/>
      <c r="R266" s="23"/>
      <c r="S266" s="23"/>
      <c r="T266" s="23"/>
      <c r="U266" s="96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ht="15.7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96"/>
      <c r="M267" s="23"/>
      <c r="N267" s="23"/>
      <c r="O267" s="23"/>
      <c r="P267" s="23"/>
      <c r="Q267" s="23"/>
      <c r="R267" s="23"/>
      <c r="S267" s="23"/>
      <c r="T267" s="23"/>
      <c r="U267" s="96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ht="15.7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96"/>
      <c r="M268" s="23"/>
      <c r="N268" s="23"/>
      <c r="O268" s="23"/>
      <c r="P268" s="23"/>
      <c r="Q268" s="23"/>
      <c r="R268" s="23"/>
      <c r="S268" s="23"/>
      <c r="T268" s="23"/>
      <c r="U268" s="96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ht="15.7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96"/>
      <c r="M269" s="23"/>
      <c r="N269" s="23"/>
      <c r="O269" s="23"/>
      <c r="P269" s="23"/>
      <c r="Q269" s="23"/>
      <c r="R269" s="23"/>
      <c r="S269" s="23"/>
      <c r="T269" s="23"/>
      <c r="U269" s="96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ht="15.7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96"/>
      <c r="M270" s="23"/>
      <c r="N270" s="23"/>
      <c r="O270" s="23"/>
      <c r="P270" s="23"/>
      <c r="Q270" s="23"/>
      <c r="R270" s="23"/>
      <c r="S270" s="23"/>
      <c r="T270" s="23"/>
      <c r="U270" s="96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ht="15.7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96"/>
      <c r="M271" s="23"/>
      <c r="N271" s="23"/>
      <c r="O271" s="23"/>
      <c r="P271" s="23"/>
      <c r="Q271" s="23"/>
      <c r="R271" s="23"/>
      <c r="S271" s="23"/>
      <c r="T271" s="23"/>
      <c r="U271" s="96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ht="15.7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96"/>
      <c r="M272" s="23"/>
      <c r="N272" s="23"/>
      <c r="O272" s="23"/>
      <c r="P272" s="23"/>
      <c r="Q272" s="23"/>
      <c r="R272" s="23"/>
      <c r="S272" s="23"/>
      <c r="T272" s="23"/>
      <c r="U272" s="96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ht="15.7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96"/>
      <c r="M273" s="23"/>
      <c r="N273" s="23"/>
      <c r="O273" s="23"/>
      <c r="P273" s="23"/>
      <c r="Q273" s="23"/>
      <c r="R273" s="23"/>
      <c r="S273" s="23"/>
      <c r="T273" s="23"/>
      <c r="U273" s="96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ht="15.7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96"/>
      <c r="M274" s="23"/>
      <c r="N274" s="23"/>
      <c r="O274" s="23"/>
      <c r="P274" s="23"/>
      <c r="Q274" s="23"/>
      <c r="R274" s="23"/>
      <c r="S274" s="23"/>
      <c r="T274" s="23"/>
      <c r="U274" s="96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ht="15.7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96"/>
      <c r="M275" s="23"/>
      <c r="N275" s="23"/>
      <c r="O275" s="23"/>
      <c r="P275" s="23"/>
      <c r="Q275" s="23"/>
      <c r="R275" s="23"/>
      <c r="S275" s="23"/>
      <c r="T275" s="23"/>
      <c r="U275" s="96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ht="15.7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96"/>
      <c r="M276" s="23"/>
      <c r="N276" s="23"/>
      <c r="O276" s="23"/>
      <c r="P276" s="23"/>
      <c r="Q276" s="23"/>
      <c r="R276" s="23"/>
      <c r="S276" s="23"/>
      <c r="T276" s="23"/>
      <c r="U276" s="96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ht="15.7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96"/>
      <c r="M277" s="23"/>
      <c r="N277" s="23"/>
      <c r="O277" s="23"/>
      <c r="P277" s="23"/>
      <c r="Q277" s="23"/>
      <c r="R277" s="23"/>
      <c r="S277" s="23"/>
      <c r="T277" s="23"/>
      <c r="U277" s="96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ht="15.7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96"/>
      <c r="M278" s="23"/>
      <c r="N278" s="23"/>
      <c r="O278" s="23"/>
      <c r="P278" s="23"/>
      <c r="Q278" s="23"/>
      <c r="R278" s="23"/>
      <c r="S278" s="23"/>
      <c r="T278" s="23"/>
      <c r="U278" s="96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ht="15.7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96"/>
      <c r="M279" s="23"/>
      <c r="N279" s="23"/>
      <c r="O279" s="23"/>
      <c r="P279" s="23"/>
      <c r="Q279" s="23"/>
      <c r="R279" s="23"/>
      <c r="S279" s="23"/>
      <c r="T279" s="23"/>
      <c r="U279" s="96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ht="15.7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96"/>
      <c r="M280" s="23"/>
      <c r="N280" s="23"/>
      <c r="O280" s="23"/>
      <c r="P280" s="23"/>
      <c r="Q280" s="23"/>
      <c r="R280" s="23"/>
      <c r="S280" s="23"/>
      <c r="T280" s="23"/>
      <c r="U280" s="96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ht="15.7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96"/>
      <c r="M281" s="23"/>
      <c r="N281" s="23"/>
      <c r="O281" s="23"/>
      <c r="P281" s="23"/>
      <c r="Q281" s="23"/>
      <c r="R281" s="23"/>
      <c r="S281" s="23"/>
      <c r="T281" s="23"/>
      <c r="U281" s="96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ht="15.7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96"/>
      <c r="M282" s="23"/>
      <c r="N282" s="23"/>
      <c r="O282" s="23"/>
      <c r="P282" s="23"/>
      <c r="Q282" s="23"/>
      <c r="R282" s="23"/>
      <c r="S282" s="23"/>
      <c r="T282" s="23"/>
      <c r="U282" s="96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ht="15.7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96"/>
      <c r="M283" s="23"/>
      <c r="N283" s="23"/>
      <c r="O283" s="23"/>
      <c r="P283" s="23"/>
      <c r="Q283" s="23"/>
      <c r="R283" s="23"/>
      <c r="S283" s="23"/>
      <c r="T283" s="23"/>
      <c r="U283" s="96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ht="15.7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96"/>
      <c r="M284" s="23"/>
      <c r="N284" s="23"/>
      <c r="O284" s="23"/>
      <c r="P284" s="23"/>
      <c r="Q284" s="23"/>
      <c r="R284" s="23"/>
      <c r="S284" s="23"/>
      <c r="T284" s="23"/>
      <c r="U284" s="96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ht="15.7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96"/>
      <c r="M285" s="23"/>
      <c r="N285" s="23"/>
      <c r="O285" s="23"/>
      <c r="P285" s="23"/>
      <c r="Q285" s="23"/>
      <c r="R285" s="23"/>
      <c r="S285" s="23"/>
      <c r="T285" s="23"/>
      <c r="U285" s="96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ht="15.7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96"/>
      <c r="M286" s="23"/>
      <c r="N286" s="23"/>
      <c r="O286" s="23"/>
      <c r="P286" s="23"/>
      <c r="Q286" s="23"/>
      <c r="R286" s="23"/>
      <c r="S286" s="23"/>
      <c r="T286" s="23"/>
      <c r="U286" s="96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ht="15.7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96"/>
      <c r="M287" s="23"/>
      <c r="N287" s="23"/>
      <c r="O287" s="23"/>
      <c r="P287" s="23"/>
      <c r="Q287" s="23"/>
      <c r="R287" s="23"/>
      <c r="S287" s="23"/>
      <c r="T287" s="23"/>
      <c r="U287" s="96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ht="15.7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96"/>
      <c r="M288" s="23"/>
      <c r="N288" s="23"/>
      <c r="O288" s="23"/>
      <c r="P288" s="23"/>
      <c r="Q288" s="23"/>
      <c r="R288" s="23"/>
      <c r="S288" s="23"/>
      <c r="T288" s="23"/>
      <c r="U288" s="96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ht="15.7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96"/>
      <c r="M289" s="23"/>
      <c r="N289" s="23"/>
      <c r="O289" s="23"/>
      <c r="P289" s="23"/>
      <c r="Q289" s="23"/>
      <c r="R289" s="23"/>
      <c r="S289" s="23"/>
      <c r="T289" s="23"/>
      <c r="U289" s="96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ht="15.7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96"/>
      <c r="M290" s="23"/>
      <c r="N290" s="23"/>
      <c r="O290" s="23"/>
      <c r="P290" s="23"/>
      <c r="Q290" s="23"/>
      <c r="R290" s="23"/>
      <c r="S290" s="23"/>
      <c r="T290" s="23"/>
      <c r="U290" s="96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ht="15.7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96"/>
      <c r="M291" s="23"/>
      <c r="N291" s="23"/>
      <c r="O291" s="23"/>
      <c r="P291" s="23"/>
      <c r="Q291" s="23"/>
      <c r="R291" s="23"/>
      <c r="S291" s="23"/>
      <c r="T291" s="23"/>
      <c r="U291" s="96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ht="15.7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96"/>
      <c r="M292" s="23"/>
      <c r="N292" s="23"/>
      <c r="O292" s="23"/>
      <c r="P292" s="23"/>
      <c r="Q292" s="23"/>
      <c r="R292" s="23"/>
      <c r="S292" s="23"/>
      <c r="T292" s="23"/>
      <c r="U292" s="96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ht="15.7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96"/>
      <c r="M293" s="23"/>
      <c r="N293" s="23"/>
      <c r="O293" s="23"/>
      <c r="P293" s="23"/>
      <c r="Q293" s="23"/>
      <c r="R293" s="23"/>
      <c r="S293" s="23"/>
      <c r="T293" s="23"/>
      <c r="U293" s="96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ht="15.7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96"/>
      <c r="M294" s="23"/>
      <c r="N294" s="23"/>
      <c r="O294" s="23"/>
      <c r="P294" s="23"/>
      <c r="Q294" s="23"/>
      <c r="R294" s="23"/>
      <c r="S294" s="23"/>
      <c r="T294" s="23"/>
      <c r="U294" s="96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ht="15.7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96"/>
      <c r="M295" s="23"/>
      <c r="N295" s="23"/>
      <c r="O295" s="23"/>
      <c r="P295" s="23"/>
      <c r="Q295" s="23"/>
      <c r="R295" s="23"/>
      <c r="S295" s="23"/>
      <c r="T295" s="23"/>
      <c r="U295" s="96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ht="15.7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96"/>
      <c r="M296" s="23"/>
      <c r="N296" s="23"/>
      <c r="O296" s="23"/>
      <c r="P296" s="23"/>
      <c r="Q296" s="23"/>
      <c r="R296" s="23"/>
      <c r="S296" s="23"/>
      <c r="T296" s="23"/>
      <c r="U296" s="96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ht="15.7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96"/>
      <c r="M297" s="23"/>
      <c r="N297" s="23"/>
      <c r="O297" s="23"/>
      <c r="P297" s="23"/>
      <c r="Q297" s="23"/>
      <c r="R297" s="23"/>
      <c r="S297" s="23"/>
      <c r="T297" s="23"/>
      <c r="U297" s="96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ht="15.7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96"/>
      <c r="M298" s="23"/>
      <c r="N298" s="23"/>
      <c r="O298" s="23"/>
      <c r="P298" s="23"/>
      <c r="Q298" s="23"/>
      <c r="R298" s="23"/>
      <c r="S298" s="23"/>
      <c r="T298" s="23"/>
      <c r="U298" s="96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ht="15.7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96"/>
      <c r="M299" s="23"/>
      <c r="N299" s="23"/>
      <c r="O299" s="23"/>
      <c r="P299" s="23"/>
      <c r="Q299" s="23"/>
      <c r="R299" s="23"/>
      <c r="S299" s="23"/>
      <c r="T299" s="23"/>
      <c r="U299" s="96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ht="15.7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96"/>
      <c r="M300" s="23"/>
      <c r="N300" s="23"/>
      <c r="O300" s="23"/>
      <c r="P300" s="23"/>
      <c r="Q300" s="23"/>
      <c r="R300" s="23"/>
      <c r="S300" s="23"/>
      <c r="T300" s="23"/>
      <c r="U300" s="96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ht="15.7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96"/>
      <c r="M301" s="23"/>
      <c r="N301" s="23"/>
      <c r="O301" s="23"/>
      <c r="P301" s="23"/>
      <c r="Q301" s="23"/>
      <c r="R301" s="23"/>
      <c r="S301" s="23"/>
      <c r="T301" s="23"/>
      <c r="U301" s="96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ht="15.7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96"/>
      <c r="M302" s="23"/>
      <c r="N302" s="23"/>
      <c r="O302" s="23"/>
      <c r="P302" s="23"/>
      <c r="Q302" s="23"/>
      <c r="R302" s="23"/>
      <c r="S302" s="23"/>
      <c r="T302" s="23"/>
      <c r="U302" s="96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ht="15.7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96"/>
      <c r="M303" s="23"/>
      <c r="N303" s="23"/>
      <c r="O303" s="23"/>
      <c r="P303" s="23"/>
      <c r="Q303" s="23"/>
      <c r="R303" s="23"/>
      <c r="S303" s="23"/>
      <c r="T303" s="23"/>
      <c r="U303" s="96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ht="15.7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96"/>
      <c r="M304" s="23"/>
      <c r="N304" s="23"/>
      <c r="O304" s="23"/>
      <c r="P304" s="23"/>
      <c r="Q304" s="23"/>
      <c r="R304" s="23"/>
      <c r="S304" s="23"/>
      <c r="T304" s="23"/>
      <c r="U304" s="96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ht="15.7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96"/>
      <c r="M305" s="23"/>
      <c r="N305" s="23"/>
      <c r="O305" s="23"/>
      <c r="P305" s="23"/>
      <c r="Q305" s="23"/>
      <c r="R305" s="23"/>
      <c r="S305" s="23"/>
      <c r="T305" s="23"/>
      <c r="U305" s="96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ht="15.7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96"/>
      <c r="M306" s="23"/>
      <c r="N306" s="23"/>
      <c r="O306" s="23"/>
      <c r="P306" s="23"/>
      <c r="Q306" s="23"/>
      <c r="R306" s="23"/>
      <c r="S306" s="23"/>
      <c r="T306" s="23"/>
      <c r="U306" s="96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ht="15.7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96"/>
      <c r="M307" s="23"/>
      <c r="N307" s="23"/>
      <c r="O307" s="23"/>
      <c r="P307" s="23"/>
      <c r="Q307" s="23"/>
      <c r="R307" s="23"/>
      <c r="S307" s="23"/>
      <c r="T307" s="23"/>
      <c r="U307" s="96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ht="15.7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96"/>
      <c r="M308" s="23"/>
      <c r="N308" s="23"/>
      <c r="O308" s="23"/>
      <c r="P308" s="23"/>
      <c r="Q308" s="23"/>
      <c r="R308" s="23"/>
      <c r="S308" s="23"/>
      <c r="T308" s="23"/>
      <c r="U308" s="96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ht="15.7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96"/>
      <c r="M309" s="23"/>
      <c r="N309" s="23"/>
      <c r="O309" s="23"/>
      <c r="P309" s="23"/>
      <c r="Q309" s="23"/>
      <c r="R309" s="23"/>
      <c r="S309" s="23"/>
      <c r="T309" s="23"/>
      <c r="U309" s="96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ht="15.7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96"/>
      <c r="M310" s="23"/>
      <c r="N310" s="23"/>
      <c r="O310" s="23"/>
      <c r="P310" s="23"/>
      <c r="Q310" s="23"/>
      <c r="R310" s="23"/>
      <c r="S310" s="23"/>
      <c r="T310" s="23"/>
      <c r="U310" s="96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ht="15.7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96"/>
      <c r="M311" s="23"/>
      <c r="N311" s="23"/>
      <c r="O311" s="23"/>
      <c r="P311" s="23"/>
      <c r="Q311" s="23"/>
      <c r="R311" s="23"/>
      <c r="S311" s="23"/>
      <c r="T311" s="23"/>
      <c r="U311" s="96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ht="15.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96"/>
      <c r="M312" s="23"/>
      <c r="N312" s="23"/>
      <c r="O312" s="23"/>
      <c r="P312" s="23"/>
      <c r="Q312" s="23"/>
      <c r="R312" s="23"/>
      <c r="S312" s="23"/>
      <c r="T312" s="23"/>
      <c r="U312" s="96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ht="15.7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96"/>
      <c r="M313" s="23"/>
      <c r="N313" s="23"/>
      <c r="O313" s="23"/>
      <c r="P313" s="23"/>
      <c r="Q313" s="23"/>
      <c r="R313" s="23"/>
      <c r="S313" s="23"/>
      <c r="T313" s="23"/>
      <c r="U313" s="96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ht="15.7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96"/>
      <c r="M314" s="23"/>
      <c r="N314" s="23"/>
      <c r="O314" s="23"/>
      <c r="P314" s="23"/>
      <c r="Q314" s="23"/>
      <c r="R314" s="23"/>
      <c r="S314" s="23"/>
      <c r="T314" s="23"/>
      <c r="U314" s="96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ht="15.7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96"/>
      <c r="M315" s="23"/>
      <c r="N315" s="23"/>
      <c r="O315" s="23"/>
      <c r="P315" s="23"/>
      <c r="Q315" s="23"/>
      <c r="R315" s="23"/>
      <c r="S315" s="23"/>
      <c r="T315" s="23"/>
      <c r="U315" s="96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ht="15.7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96"/>
      <c r="M316" s="23"/>
      <c r="N316" s="23"/>
      <c r="O316" s="23"/>
      <c r="P316" s="23"/>
      <c r="Q316" s="23"/>
      <c r="R316" s="23"/>
      <c r="S316" s="23"/>
      <c r="T316" s="23"/>
      <c r="U316" s="96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ht="15.7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96"/>
      <c r="M317" s="23"/>
      <c r="N317" s="23"/>
      <c r="O317" s="23"/>
      <c r="P317" s="23"/>
      <c r="Q317" s="23"/>
      <c r="R317" s="23"/>
      <c r="S317" s="23"/>
      <c r="T317" s="23"/>
      <c r="U317" s="96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ht="15.7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96"/>
      <c r="M318" s="23"/>
      <c r="N318" s="23"/>
      <c r="O318" s="23"/>
      <c r="P318" s="23"/>
      <c r="Q318" s="23"/>
      <c r="R318" s="23"/>
      <c r="S318" s="23"/>
      <c r="T318" s="23"/>
      <c r="U318" s="96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ht="15.7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96"/>
      <c r="M319" s="23"/>
      <c r="N319" s="23"/>
      <c r="O319" s="23"/>
      <c r="P319" s="23"/>
      <c r="Q319" s="23"/>
      <c r="R319" s="23"/>
      <c r="S319" s="23"/>
      <c r="T319" s="23"/>
      <c r="U319" s="96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ht="15.7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96"/>
      <c r="M320" s="23"/>
      <c r="N320" s="23"/>
      <c r="O320" s="23"/>
      <c r="P320" s="23"/>
      <c r="Q320" s="23"/>
      <c r="R320" s="23"/>
      <c r="S320" s="23"/>
      <c r="T320" s="23"/>
      <c r="U320" s="96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ht="15.7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96"/>
      <c r="M321" s="23"/>
      <c r="N321" s="23"/>
      <c r="O321" s="23"/>
      <c r="P321" s="23"/>
      <c r="Q321" s="23"/>
      <c r="R321" s="23"/>
      <c r="S321" s="23"/>
      <c r="T321" s="23"/>
      <c r="U321" s="96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ht="15.7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96"/>
      <c r="M322" s="23"/>
      <c r="N322" s="23"/>
      <c r="O322" s="23"/>
      <c r="P322" s="23"/>
      <c r="Q322" s="23"/>
      <c r="R322" s="23"/>
      <c r="S322" s="23"/>
      <c r="T322" s="23"/>
      <c r="U322" s="96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ht="15.7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96"/>
      <c r="M323" s="23"/>
      <c r="N323" s="23"/>
      <c r="O323" s="23"/>
      <c r="P323" s="23"/>
      <c r="Q323" s="23"/>
      <c r="R323" s="23"/>
      <c r="S323" s="23"/>
      <c r="T323" s="23"/>
      <c r="U323" s="96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ht="15.7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96"/>
      <c r="M324" s="23"/>
      <c r="N324" s="23"/>
      <c r="O324" s="23"/>
      <c r="P324" s="23"/>
      <c r="Q324" s="23"/>
      <c r="R324" s="23"/>
      <c r="S324" s="23"/>
      <c r="T324" s="23"/>
      <c r="U324" s="96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ht="15.7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96"/>
      <c r="M325" s="23"/>
      <c r="N325" s="23"/>
      <c r="O325" s="23"/>
      <c r="P325" s="23"/>
      <c r="Q325" s="23"/>
      <c r="R325" s="23"/>
      <c r="S325" s="23"/>
      <c r="T325" s="23"/>
      <c r="U325" s="96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ht="15.7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96"/>
      <c r="M326" s="23"/>
      <c r="N326" s="23"/>
      <c r="O326" s="23"/>
      <c r="P326" s="23"/>
      <c r="Q326" s="23"/>
      <c r="R326" s="23"/>
      <c r="S326" s="23"/>
      <c r="T326" s="23"/>
      <c r="U326" s="96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ht="15.7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96"/>
      <c r="M327" s="23"/>
      <c r="N327" s="23"/>
      <c r="O327" s="23"/>
      <c r="P327" s="23"/>
      <c r="Q327" s="23"/>
      <c r="R327" s="23"/>
      <c r="S327" s="23"/>
      <c r="T327" s="23"/>
      <c r="U327" s="96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ht="15.7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96"/>
      <c r="M328" s="23"/>
      <c r="N328" s="23"/>
      <c r="O328" s="23"/>
      <c r="P328" s="23"/>
      <c r="Q328" s="23"/>
      <c r="R328" s="23"/>
      <c r="S328" s="23"/>
      <c r="T328" s="23"/>
      <c r="U328" s="96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ht="15.7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96"/>
      <c r="M329" s="23"/>
      <c r="N329" s="23"/>
      <c r="O329" s="23"/>
      <c r="P329" s="23"/>
      <c r="Q329" s="23"/>
      <c r="R329" s="23"/>
      <c r="S329" s="23"/>
      <c r="T329" s="23"/>
      <c r="U329" s="96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ht="15.7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96"/>
      <c r="M330" s="23"/>
      <c r="N330" s="23"/>
      <c r="O330" s="23"/>
      <c r="P330" s="23"/>
      <c r="Q330" s="23"/>
      <c r="R330" s="23"/>
      <c r="S330" s="23"/>
      <c r="T330" s="23"/>
      <c r="U330" s="96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ht="15.7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96"/>
      <c r="M331" s="23"/>
      <c r="N331" s="23"/>
      <c r="O331" s="23"/>
      <c r="P331" s="23"/>
      <c r="Q331" s="23"/>
      <c r="R331" s="23"/>
      <c r="S331" s="23"/>
      <c r="T331" s="23"/>
      <c r="U331" s="96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ht="15.7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96"/>
      <c r="M332" s="23"/>
      <c r="N332" s="23"/>
      <c r="O332" s="23"/>
      <c r="P332" s="23"/>
      <c r="Q332" s="23"/>
      <c r="R332" s="23"/>
      <c r="S332" s="23"/>
      <c r="T332" s="23"/>
      <c r="U332" s="96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ht="15.7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96"/>
      <c r="M333" s="23"/>
      <c r="N333" s="23"/>
      <c r="O333" s="23"/>
      <c r="P333" s="23"/>
      <c r="Q333" s="23"/>
      <c r="R333" s="23"/>
      <c r="S333" s="23"/>
      <c r="T333" s="23"/>
      <c r="U333" s="96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ht="15.7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96"/>
      <c r="M334" s="23"/>
      <c r="N334" s="23"/>
      <c r="O334" s="23"/>
      <c r="P334" s="23"/>
      <c r="Q334" s="23"/>
      <c r="R334" s="23"/>
      <c r="S334" s="23"/>
      <c r="T334" s="23"/>
      <c r="U334" s="96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ht="15.7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96"/>
      <c r="M335" s="23"/>
      <c r="N335" s="23"/>
      <c r="O335" s="23"/>
      <c r="P335" s="23"/>
      <c r="Q335" s="23"/>
      <c r="R335" s="23"/>
      <c r="S335" s="23"/>
      <c r="T335" s="23"/>
      <c r="U335" s="96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ht="15.7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96"/>
      <c r="M336" s="23"/>
      <c r="N336" s="23"/>
      <c r="O336" s="23"/>
      <c r="P336" s="23"/>
      <c r="Q336" s="23"/>
      <c r="R336" s="23"/>
      <c r="S336" s="23"/>
      <c r="T336" s="23"/>
      <c r="U336" s="96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ht="15.7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96"/>
      <c r="M337" s="23"/>
      <c r="N337" s="23"/>
      <c r="O337" s="23"/>
      <c r="P337" s="23"/>
      <c r="Q337" s="23"/>
      <c r="R337" s="23"/>
      <c r="S337" s="23"/>
      <c r="T337" s="23"/>
      <c r="U337" s="96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ht="15.7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96"/>
      <c r="M338" s="23"/>
      <c r="N338" s="23"/>
      <c r="O338" s="23"/>
      <c r="P338" s="23"/>
      <c r="Q338" s="23"/>
      <c r="R338" s="23"/>
      <c r="S338" s="23"/>
      <c r="T338" s="23"/>
      <c r="U338" s="96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ht="15.7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96"/>
      <c r="M339" s="23"/>
      <c r="N339" s="23"/>
      <c r="O339" s="23"/>
      <c r="P339" s="23"/>
      <c r="Q339" s="23"/>
      <c r="R339" s="23"/>
      <c r="S339" s="23"/>
      <c r="T339" s="23"/>
      <c r="U339" s="96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ht="15.7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96"/>
      <c r="M340" s="23"/>
      <c r="N340" s="23"/>
      <c r="O340" s="23"/>
      <c r="P340" s="23"/>
      <c r="Q340" s="23"/>
      <c r="R340" s="23"/>
      <c r="S340" s="23"/>
      <c r="T340" s="23"/>
      <c r="U340" s="96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ht="15.7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96"/>
      <c r="M341" s="23"/>
      <c r="N341" s="23"/>
      <c r="O341" s="23"/>
      <c r="P341" s="23"/>
      <c r="Q341" s="23"/>
      <c r="R341" s="23"/>
      <c r="S341" s="23"/>
      <c r="T341" s="23"/>
      <c r="U341" s="96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ht="15.7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96"/>
      <c r="M342" s="23"/>
      <c r="N342" s="23"/>
      <c r="O342" s="23"/>
      <c r="P342" s="23"/>
      <c r="Q342" s="23"/>
      <c r="R342" s="23"/>
      <c r="S342" s="23"/>
      <c r="T342" s="23"/>
      <c r="U342" s="96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ht="15.7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96"/>
      <c r="M343" s="23"/>
      <c r="N343" s="23"/>
      <c r="O343" s="23"/>
      <c r="P343" s="23"/>
      <c r="Q343" s="23"/>
      <c r="R343" s="23"/>
      <c r="S343" s="23"/>
      <c r="T343" s="23"/>
      <c r="U343" s="96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ht="15.7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96"/>
      <c r="M344" s="23"/>
      <c r="N344" s="23"/>
      <c r="O344" s="23"/>
      <c r="P344" s="23"/>
      <c r="Q344" s="23"/>
      <c r="R344" s="23"/>
      <c r="S344" s="23"/>
      <c r="T344" s="23"/>
      <c r="U344" s="96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ht="15.7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96"/>
      <c r="M345" s="23"/>
      <c r="N345" s="23"/>
      <c r="O345" s="23"/>
      <c r="P345" s="23"/>
      <c r="Q345" s="23"/>
      <c r="R345" s="23"/>
      <c r="S345" s="23"/>
      <c r="T345" s="23"/>
      <c r="U345" s="96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ht="15.7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96"/>
      <c r="M346" s="23"/>
      <c r="N346" s="23"/>
      <c r="O346" s="23"/>
      <c r="P346" s="23"/>
      <c r="Q346" s="23"/>
      <c r="R346" s="23"/>
      <c r="S346" s="23"/>
      <c r="T346" s="23"/>
      <c r="U346" s="96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ht="15.7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96"/>
      <c r="M347" s="23"/>
      <c r="N347" s="23"/>
      <c r="O347" s="23"/>
      <c r="P347" s="23"/>
      <c r="Q347" s="23"/>
      <c r="R347" s="23"/>
      <c r="S347" s="23"/>
      <c r="T347" s="23"/>
      <c r="U347" s="96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ht="15.7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96"/>
      <c r="M348" s="23"/>
      <c r="N348" s="23"/>
      <c r="O348" s="23"/>
      <c r="P348" s="23"/>
      <c r="Q348" s="23"/>
      <c r="R348" s="23"/>
      <c r="S348" s="23"/>
      <c r="T348" s="23"/>
      <c r="U348" s="96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ht="15.7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96"/>
      <c r="M349" s="23"/>
      <c r="N349" s="23"/>
      <c r="O349" s="23"/>
      <c r="P349" s="23"/>
      <c r="Q349" s="23"/>
      <c r="R349" s="23"/>
      <c r="S349" s="23"/>
      <c r="T349" s="23"/>
      <c r="U349" s="96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ht="15.7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96"/>
      <c r="M350" s="23"/>
      <c r="N350" s="23"/>
      <c r="O350" s="23"/>
      <c r="P350" s="23"/>
      <c r="Q350" s="23"/>
      <c r="R350" s="23"/>
      <c r="S350" s="23"/>
      <c r="T350" s="23"/>
      <c r="U350" s="96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ht="15.7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96"/>
      <c r="M351" s="23"/>
      <c r="N351" s="23"/>
      <c r="O351" s="23"/>
      <c r="P351" s="23"/>
      <c r="Q351" s="23"/>
      <c r="R351" s="23"/>
      <c r="S351" s="23"/>
      <c r="T351" s="23"/>
      <c r="U351" s="96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ht="15.7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96"/>
      <c r="M352" s="23"/>
      <c r="N352" s="23"/>
      <c r="O352" s="23"/>
      <c r="P352" s="23"/>
      <c r="Q352" s="23"/>
      <c r="R352" s="23"/>
      <c r="S352" s="23"/>
      <c r="T352" s="23"/>
      <c r="U352" s="96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ht="15.7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96"/>
      <c r="M353" s="23"/>
      <c r="N353" s="23"/>
      <c r="O353" s="23"/>
      <c r="P353" s="23"/>
      <c r="Q353" s="23"/>
      <c r="R353" s="23"/>
      <c r="S353" s="23"/>
      <c r="T353" s="23"/>
      <c r="U353" s="96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ht="15.7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96"/>
      <c r="M354" s="23"/>
      <c r="N354" s="23"/>
      <c r="O354" s="23"/>
      <c r="P354" s="23"/>
      <c r="Q354" s="23"/>
      <c r="R354" s="23"/>
      <c r="S354" s="23"/>
      <c r="T354" s="23"/>
      <c r="U354" s="96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ht="15.7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96"/>
      <c r="M355" s="23"/>
      <c r="N355" s="23"/>
      <c r="O355" s="23"/>
      <c r="P355" s="23"/>
      <c r="Q355" s="23"/>
      <c r="R355" s="23"/>
      <c r="S355" s="23"/>
      <c r="T355" s="23"/>
      <c r="U355" s="96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ht="15.7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96"/>
      <c r="M356" s="23"/>
      <c r="N356" s="23"/>
      <c r="O356" s="23"/>
      <c r="P356" s="23"/>
      <c r="Q356" s="23"/>
      <c r="R356" s="23"/>
      <c r="S356" s="23"/>
      <c r="T356" s="23"/>
      <c r="U356" s="96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ht="15.7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96"/>
      <c r="M357" s="23"/>
      <c r="N357" s="23"/>
      <c r="O357" s="23"/>
      <c r="P357" s="23"/>
      <c r="Q357" s="23"/>
      <c r="R357" s="23"/>
      <c r="S357" s="23"/>
      <c r="T357" s="23"/>
      <c r="U357" s="96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ht="15.7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96"/>
      <c r="M358" s="23"/>
      <c r="N358" s="23"/>
      <c r="O358" s="23"/>
      <c r="P358" s="23"/>
      <c r="Q358" s="23"/>
      <c r="R358" s="23"/>
      <c r="S358" s="23"/>
      <c r="T358" s="23"/>
      <c r="U358" s="96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ht="15.7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96"/>
      <c r="M359" s="23"/>
      <c r="N359" s="23"/>
      <c r="O359" s="23"/>
      <c r="P359" s="23"/>
      <c r="Q359" s="23"/>
      <c r="R359" s="23"/>
      <c r="S359" s="23"/>
      <c r="T359" s="23"/>
      <c r="U359" s="96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ht="15.7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96"/>
      <c r="M360" s="23"/>
      <c r="N360" s="23"/>
      <c r="O360" s="23"/>
      <c r="P360" s="23"/>
      <c r="Q360" s="23"/>
      <c r="R360" s="23"/>
      <c r="S360" s="23"/>
      <c r="T360" s="23"/>
      <c r="U360" s="96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ht="15.7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96"/>
      <c r="M361" s="23"/>
      <c r="N361" s="23"/>
      <c r="O361" s="23"/>
      <c r="P361" s="23"/>
      <c r="Q361" s="23"/>
      <c r="R361" s="23"/>
      <c r="S361" s="23"/>
      <c r="T361" s="23"/>
      <c r="U361" s="96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ht="15.7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96"/>
      <c r="M362" s="23"/>
      <c r="N362" s="23"/>
      <c r="O362" s="23"/>
      <c r="P362" s="23"/>
      <c r="Q362" s="23"/>
      <c r="R362" s="23"/>
      <c r="S362" s="23"/>
      <c r="T362" s="23"/>
      <c r="U362" s="96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ht="15.7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96"/>
      <c r="M363" s="23"/>
      <c r="N363" s="23"/>
      <c r="O363" s="23"/>
      <c r="P363" s="23"/>
      <c r="Q363" s="23"/>
      <c r="R363" s="23"/>
      <c r="S363" s="23"/>
      <c r="T363" s="23"/>
      <c r="U363" s="96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ht="15.7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96"/>
      <c r="M364" s="23"/>
      <c r="N364" s="23"/>
      <c r="O364" s="23"/>
      <c r="P364" s="23"/>
      <c r="Q364" s="23"/>
      <c r="R364" s="23"/>
      <c r="S364" s="23"/>
      <c r="T364" s="23"/>
      <c r="U364" s="96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ht="15.7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96"/>
      <c r="M365" s="23"/>
      <c r="N365" s="23"/>
      <c r="O365" s="23"/>
      <c r="P365" s="23"/>
      <c r="Q365" s="23"/>
      <c r="R365" s="23"/>
      <c r="S365" s="23"/>
      <c r="T365" s="23"/>
      <c r="U365" s="96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ht="15.7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96"/>
      <c r="M366" s="23"/>
      <c r="N366" s="23"/>
      <c r="O366" s="23"/>
      <c r="P366" s="23"/>
      <c r="Q366" s="23"/>
      <c r="R366" s="23"/>
      <c r="S366" s="23"/>
      <c r="T366" s="23"/>
      <c r="U366" s="96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ht="15.7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96"/>
      <c r="M367" s="23"/>
      <c r="N367" s="23"/>
      <c r="O367" s="23"/>
      <c r="P367" s="23"/>
      <c r="Q367" s="23"/>
      <c r="R367" s="23"/>
      <c r="S367" s="23"/>
      <c r="T367" s="23"/>
      <c r="U367" s="96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ht="15.7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96"/>
      <c r="M368" s="23"/>
      <c r="N368" s="23"/>
      <c r="O368" s="23"/>
      <c r="P368" s="23"/>
      <c r="Q368" s="23"/>
      <c r="R368" s="23"/>
      <c r="S368" s="23"/>
      <c r="T368" s="23"/>
      <c r="U368" s="96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ht="15.7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96"/>
      <c r="M369" s="23"/>
      <c r="N369" s="23"/>
      <c r="O369" s="23"/>
      <c r="P369" s="23"/>
      <c r="Q369" s="23"/>
      <c r="R369" s="23"/>
      <c r="S369" s="23"/>
      <c r="T369" s="23"/>
      <c r="U369" s="96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ht="15.7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96"/>
      <c r="M370" s="23"/>
      <c r="N370" s="23"/>
      <c r="O370" s="23"/>
      <c r="P370" s="23"/>
      <c r="Q370" s="23"/>
      <c r="R370" s="23"/>
      <c r="S370" s="23"/>
      <c r="T370" s="23"/>
      <c r="U370" s="96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ht="15.7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96"/>
      <c r="M371" s="23"/>
      <c r="N371" s="23"/>
      <c r="O371" s="23"/>
      <c r="P371" s="23"/>
      <c r="Q371" s="23"/>
      <c r="R371" s="23"/>
      <c r="S371" s="23"/>
      <c r="T371" s="23"/>
      <c r="U371" s="96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ht="15.7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96"/>
      <c r="M372" s="23"/>
      <c r="N372" s="23"/>
      <c r="O372" s="23"/>
      <c r="P372" s="23"/>
      <c r="Q372" s="23"/>
      <c r="R372" s="23"/>
      <c r="S372" s="23"/>
      <c r="T372" s="23"/>
      <c r="U372" s="96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ht="15.7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96"/>
      <c r="M373" s="23"/>
      <c r="N373" s="23"/>
      <c r="O373" s="23"/>
      <c r="P373" s="23"/>
      <c r="Q373" s="23"/>
      <c r="R373" s="23"/>
      <c r="S373" s="23"/>
      <c r="T373" s="23"/>
      <c r="U373" s="96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ht="15.7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96"/>
      <c r="M374" s="23"/>
      <c r="N374" s="23"/>
      <c r="O374" s="23"/>
      <c r="P374" s="23"/>
      <c r="Q374" s="23"/>
      <c r="R374" s="23"/>
      <c r="S374" s="23"/>
      <c r="T374" s="23"/>
      <c r="U374" s="96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ht="15.7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96"/>
      <c r="M375" s="23"/>
      <c r="N375" s="23"/>
      <c r="O375" s="23"/>
      <c r="P375" s="23"/>
      <c r="Q375" s="23"/>
      <c r="R375" s="23"/>
      <c r="S375" s="23"/>
      <c r="T375" s="23"/>
      <c r="U375" s="96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ht="15.7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96"/>
      <c r="M376" s="23"/>
      <c r="N376" s="23"/>
      <c r="O376" s="23"/>
      <c r="P376" s="23"/>
      <c r="Q376" s="23"/>
      <c r="R376" s="23"/>
      <c r="S376" s="23"/>
      <c r="T376" s="23"/>
      <c r="U376" s="96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ht="15.7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96"/>
      <c r="M377" s="23"/>
      <c r="N377" s="23"/>
      <c r="O377" s="23"/>
      <c r="P377" s="23"/>
      <c r="Q377" s="23"/>
      <c r="R377" s="23"/>
      <c r="S377" s="23"/>
      <c r="T377" s="23"/>
      <c r="U377" s="96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ht="15.7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96"/>
      <c r="M378" s="23"/>
      <c r="N378" s="23"/>
      <c r="O378" s="23"/>
      <c r="P378" s="23"/>
      <c r="Q378" s="23"/>
      <c r="R378" s="23"/>
      <c r="S378" s="23"/>
      <c r="T378" s="23"/>
      <c r="U378" s="96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ht="15.7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96"/>
      <c r="M379" s="23"/>
      <c r="N379" s="23"/>
      <c r="O379" s="23"/>
      <c r="P379" s="23"/>
      <c r="Q379" s="23"/>
      <c r="R379" s="23"/>
      <c r="S379" s="23"/>
      <c r="T379" s="23"/>
      <c r="U379" s="96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ht="15.7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96"/>
      <c r="M380" s="23"/>
      <c r="N380" s="23"/>
      <c r="O380" s="23"/>
      <c r="P380" s="23"/>
      <c r="Q380" s="23"/>
      <c r="R380" s="23"/>
      <c r="S380" s="23"/>
      <c r="T380" s="23"/>
      <c r="U380" s="96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ht="15.7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96"/>
      <c r="M381" s="23"/>
      <c r="N381" s="23"/>
      <c r="O381" s="23"/>
      <c r="P381" s="23"/>
      <c r="Q381" s="23"/>
      <c r="R381" s="23"/>
      <c r="S381" s="23"/>
      <c r="T381" s="23"/>
      <c r="U381" s="96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ht="15.7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96"/>
      <c r="M382" s="23"/>
      <c r="N382" s="23"/>
      <c r="O382" s="23"/>
      <c r="P382" s="23"/>
      <c r="Q382" s="23"/>
      <c r="R382" s="23"/>
      <c r="S382" s="23"/>
      <c r="T382" s="23"/>
      <c r="U382" s="96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ht="15.7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96"/>
      <c r="M383" s="23"/>
      <c r="N383" s="23"/>
      <c r="O383" s="23"/>
      <c r="P383" s="23"/>
      <c r="Q383" s="23"/>
      <c r="R383" s="23"/>
      <c r="S383" s="23"/>
      <c r="T383" s="23"/>
      <c r="U383" s="96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ht="15.7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96"/>
      <c r="M384" s="23"/>
      <c r="N384" s="23"/>
      <c r="O384" s="23"/>
      <c r="P384" s="23"/>
      <c r="Q384" s="23"/>
      <c r="R384" s="23"/>
      <c r="S384" s="23"/>
      <c r="T384" s="23"/>
      <c r="U384" s="96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ht="15.7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96"/>
      <c r="M385" s="23"/>
      <c r="N385" s="23"/>
      <c r="O385" s="23"/>
      <c r="P385" s="23"/>
      <c r="Q385" s="23"/>
      <c r="R385" s="23"/>
      <c r="S385" s="23"/>
      <c r="T385" s="23"/>
      <c r="U385" s="96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ht="15.7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96"/>
      <c r="M386" s="23"/>
      <c r="N386" s="23"/>
      <c r="O386" s="23"/>
      <c r="P386" s="23"/>
      <c r="Q386" s="23"/>
      <c r="R386" s="23"/>
      <c r="S386" s="23"/>
      <c r="T386" s="23"/>
      <c r="U386" s="96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ht="15.7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96"/>
      <c r="M387" s="23"/>
      <c r="N387" s="23"/>
      <c r="O387" s="23"/>
      <c r="P387" s="23"/>
      <c r="Q387" s="23"/>
      <c r="R387" s="23"/>
      <c r="S387" s="23"/>
      <c r="T387" s="23"/>
      <c r="U387" s="96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ht="15.7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96"/>
      <c r="M388" s="23"/>
      <c r="N388" s="23"/>
      <c r="O388" s="23"/>
      <c r="P388" s="23"/>
      <c r="Q388" s="23"/>
      <c r="R388" s="23"/>
      <c r="S388" s="23"/>
      <c r="T388" s="23"/>
      <c r="U388" s="96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ht="15.7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96"/>
      <c r="M389" s="23"/>
      <c r="N389" s="23"/>
      <c r="O389" s="23"/>
      <c r="P389" s="23"/>
      <c r="Q389" s="23"/>
      <c r="R389" s="23"/>
      <c r="S389" s="23"/>
      <c r="T389" s="23"/>
      <c r="U389" s="96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ht="15.7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96"/>
      <c r="M390" s="23"/>
      <c r="N390" s="23"/>
      <c r="O390" s="23"/>
      <c r="P390" s="23"/>
      <c r="Q390" s="23"/>
      <c r="R390" s="23"/>
      <c r="S390" s="23"/>
      <c r="T390" s="23"/>
      <c r="U390" s="96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ht="15.7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96"/>
      <c r="M391" s="23"/>
      <c r="N391" s="23"/>
      <c r="O391" s="23"/>
      <c r="P391" s="23"/>
      <c r="Q391" s="23"/>
      <c r="R391" s="23"/>
      <c r="S391" s="23"/>
      <c r="T391" s="23"/>
      <c r="U391" s="96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ht="15.7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96"/>
      <c r="M392" s="23"/>
      <c r="N392" s="23"/>
      <c r="O392" s="23"/>
      <c r="P392" s="23"/>
      <c r="Q392" s="23"/>
      <c r="R392" s="23"/>
      <c r="S392" s="23"/>
      <c r="T392" s="23"/>
      <c r="U392" s="96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ht="15.7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96"/>
      <c r="M393" s="23"/>
      <c r="N393" s="23"/>
      <c r="O393" s="23"/>
      <c r="P393" s="23"/>
      <c r="Q393" s="23"/>
      <c r="R393" s="23"/>
      <c r="S393" s="23"/>
      <c r="T393" s="23"/>
      <c r="U393" s="96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ht="15.7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96"/>
      <c r="M394" s="23"/>
      <c r="N394" s="23"/>
      <c r="O394" s="23"/>
      <c r="P394" s="23"/>
      <c r="Q394" s="23"/>
      <c r="R394" s="23"/>
      <c r="S394" s="23"/>
      <c r="T394" s="23"/>
      <c r="U394" s="96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ht="15.7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96"/>
      <c r="M395" s="23"/>
      <c r="N395" s="23"/>
      <c r="O395" s="23"/>
      <c r="P395" s="23"/>
      <c r="Q395" s="23"/>
      <c r="R395" s="23"/>
      <c r="S395" s="23"/>
      <c r="T395" s="23"/>
      <c r="U395" s="96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ht="15.7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96"/>
      <c r="M396" s="23"/>
      <c r="N396" s="23"/>
      <c r="O396" s="23"/>
      <c r="P396" s="23"/>
      <c r="Q396" s="23"/>
      <c r="R396" s="23"/>
      <c r="S396" s="23"/>
      <c r="T396" s="23"/>
      <c r="U396" s="96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ht="15.7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96"/>
      <c r="M397" s="23"/>
      <c r="N397" s="23"/>
      <c r="O397" s="23"/>
      <c r="P397" s="23"/>
      <c r="Q397" s="23"/>
      <c r="R397" s="23"/>
      <c r="S397" s="23"/>
      <c r="T397" s="23"/>
      <c r="U397" s="96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ht="15.7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96"/>
      <c r="M398" s="23"/>
      <c r="N398" s="23"/>
      <c r="O398" s="23"/>
      <c r="P398" s="23"/>
      <c r="Q398" s="23"/>
      <c r="R398" s="23"/>
      <c r="S398" s="23"/>
      <c r="T398" s="23"/>
      <c r="U398" s="96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ht="15.7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96"/>
      <c r="M399" s="23"/>
      <c r="N399" s="23"/>
      <c r="O399" s="23"/>
      <c r="P399" s="23"/>
      <c r="Q399" s="23"/>
      <c r="R399" s="23"/>
      <c r="S399" s="23"/>
      <c r="T399" s="23"/>
      <c r="U399" s="96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ht="15.7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96"/>
      <c r="M400" s="23"/>
      <c r="N400" s="23"/>
      <c r="O400" s="23"/>
      <c r="P400" s="23"/>
      <c r="Q400" s="23"/>
      <c r="R400" s="23"/>
      <c r="S400" s="23"/>
      <c r="T400" s="23"/>
      <c r="U400" s="96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ht="15.7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96"/>
      <c r="M401" s="23"/>
      <c r="N401" s="23"/>
      <c r="O401" s="23"/>
      <c r="P401" s="23"/>
      <c r="Q401" s="23"/>
      <c r="R401" s="23"/>
      <c r="S401" s="23"/>
      <c r="T401" s="23"/>
      <c r="U401" s="96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ht="15.7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96"/>
      <c r="M402" s="23"/>
      <c r="N402" s="23"/>
      <c r="O402" s="23"/>
      <c r="P402" s="23"/>
      <c r="Q402" s="23"/>
      <c r="R402" s="23"/>
      <c r="S402" s="23"/>
      <c r="T402" s="23"/>
      <c r="U402" s="96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ht="15.7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96"/>
      <c r="M403" s="23"/>
      <c r="N403" s="23"/>
      <c r="O403" s="23"/>
      <c r="P403" s="23"/>
      <c r="Q403" s="23"/>
      <c r="R403" s="23"/>
      <c r="S403" s="23"/>
      <c r="T403" s="23"/>
      <c r="U403" s="96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ht="15.7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96"/>
      <c r="M404" s="23"/>
      <c r="N404" s="23"/>
      <c r="O404" s="23"/>
      <c r="P404" s="23"/>
      <c r="Q404" s="23"/>
      <c r="R404" s="23"/>
      <c r="S404" s="23"/>
      <c r="T404" s="23"/>
      <c r="U404" s="96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ht="15.7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96"/>
      <c r="M405" s="23"/>
      <c r="N405" s="23"/>
      <c r="O405" s="23"/>
      <c r="P405" s="23"/>
      <c r="Q405" s="23"/>
      <c r="R405" s="23"/>
      <c r="S405" s="23"/>
      <c r="T405" s="23"/>
      <c r="U405" s="96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ht="15.7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96"/>
      <c r="M406" s="23"/>
      <c r="N406" s="23"/>
      <c r="O406" s="23"/>
      <c r="P406" s="23"/>
      <c r="Q406" s="23"/>
      <c r="R406" s="23"/>
      <c r="S406" s="23"/>
      <c r="T406" s="23"/>
      <c r="U406" s="96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ht="15.7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96"/>
      <c r="M407" s="23"/>
      <c r="N407" s="23"/>
      <c r="O407" s="23"/>
      <c r="P407" s="23"/>
      <c r="Q407" s="23"/>
      <c r="R407" s="23"/>
      <c r="S407" s="23"/>
      <c r="T407" s="23"/>
      <c r="U407" s="96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ht="15.7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96"/>
      <c r="M408" s="23"/>
      <c r="N408" s="23"/>
      <c r="O408" s="23"/>
      <c r="P408" s="23"/>
      <c r="Q408" s="23"/>
      <c r="R408" s="23"/>
      <c r="S408" s="23"/>
      <c r="T408" s="23"/>
      <c r="U408" s="96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ht="15.7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96"/>
      <c r="M409" s="23"/>
      <c r="N409" s="23"/>
      <c r="O409" s="23"/>
      <c r="P409" s="23"/>
      <c r="Q409" s="23"/>
      <c r="R409" s="23"/>
      <c r="S409" s="23"/>
      <c r="T409" s="23"/>
      <c r="U409" s="96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ht="15.7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96"/>
      <c r="M410" s="23"/>
      <c r="N410" s="23"/>
      <c r="O410" s="23"/>
      <c r="P410" s="23"/>
      <c r="Q410" s="23"/>
      <c r="R410" s="23"/>
      <c r="S410" s="23"/>
      <c r="T410" s="23"/>
      <c r="U410" s="96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ht="15.7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96"/>
      <c r="M411" s="23"/>
      <c r="N411" s="23"/>
      <c r="O411" s="23"/>
      <c r="P411" s="23"/>
      <c r="Q411" s="23"/>
      <c r="R411" s="23"/>
      <c r="S411" s="23"/>
      <c r="T411" s="23"/>
      <c r="U411" s="96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ht="15.7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96"/>
      <c r="M412" s="23"/>
      <c r="N412" s="23"/>
      <c r="O412" s="23"/>
      <c r="P412" s="23"/>
      <c r="Q412" s="23"/>
      <c r="R412" s="23"/>
      <c r="S412" s="23"/>
      <c r="T412" s="23"/>
      <c r="U412" s="96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ht="15.7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96"/>
      <c r="M413" s="23"/>
      <c r="N413" s="23"/>
      <c r="O413" s="23"/>
      <c r="P413" s="23"/>
      <c r="Q413" s="23"/>
      <c r="R413" s="23"/>
      <c r="S413" s="23"/>
      <c r="T413" s="23"/>
      <c r="U413" s="96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ht="15.7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96"/>
      <c r="M414" s="23"/>
      <c r="N414" s="23"/>
      <c r="O414" s="23"/>
      <c r="P414" s="23"/>
      <c r="Q414" s="23"/>
      <c r="R414" s="23"/>
      <c r="S414" s="23"/>
      <c r="T414" s="23"/>
      <c r="U414" s="96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ht="15.7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96"/>
      <c r="M415" s="23"/>
      <c r="N415" s="23"/>
      <c r="O415" s="23"/>
      <c r="P415" s="23"/>
      <c r="Q415" s="23"/>
      <c r="R415" s="23"/>
      <c r="S415" s="23"/>
      <c r="T415" s="23"/>
      <c r="U415" s="96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ht="15.7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96"/>
      <c r="M416" s="23"/>
      <c r="N416" s="23"/>
      <c r="O416" s="23"/>
      <c r="P416" s="23"/>
      <c r="Q416" s="23"/>
      <c r="R416" s="23"/>
      <c r="S416" s="23"/>
      <c r="T416" s="23"/>
      <c r="U416" s="96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ht="15.7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96"/>
      <c r="M417" s="23"/>
      <c r="N417" s="23"/>
      <c r="O417" s="23"/>
      <c r="P417" s="23"/>
      <c r="Q417" s="23"/>
      <c r="R417" s="23"/>
      <c r="S417" s="23"/>
      <c r="T417" s="23"/>
      <c r="U417" s="96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ht="15.7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96"/>
      <c r="M418" s="23"/>
      <c r="N418" s="23"/>
      <c r="O418" s="23"/>
      <c r="P418" s="23"/>
      <c r="Q418" s="23"/>
      <c r="R418" s="23"/>
      <c r="S418" s="23"/>
      <c r="T418" s="23"/>
      <c r="U418" s="96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ht="15.7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96"/>
      <c r="M419" s="23"/>
      <c r="N419" s="23"/>
      <c r="O419" s="23"/>
      <c r="P419" s="23"/>
      <c r="Q419" s="23"/>
      <c r="R419" s="23"/>
      <c r="S419" s="23"/>
      <c r="T419" s="23"/>
      <c r="U419" s="96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ht="15.7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96"/>
      <c r="M420" s="23"/>
      <c r="N420" s="23"/>
      <c r="O420" s="23"/>
      <c r="P420" s="23"/>
      <c r="Q420" s="23"/>
      <c r="R420" s="23"/>
      <c r="S420" s="23"/>
      <c r="T420" s="23"/>
      <c r="U420" s="96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ht="15.7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96"/>
      <c r="M421" s="23"/>
      <c r="N421" s="23"/>
      <c r="O421" s="23"/>
      <c r="P421" s="23"/>
      <c r="Q421" s="23"/>
      <c r="R421" s="23"/>
      <c r="S421" s="23"/>
      <c r="T421" s="23"/>
      <c r="U421" s="96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ht="15.7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96"/>
      <c r="M422" s="23"/>
      <c r="N422" s="23"/>
      <c r="O422" s="23"/>
      <c r="P422" s="23"/>
      <c r="Q422" s="23"/>
      <c r="R422" s="23"/>
      <c r="S422" s="23"/>
      <c r="T422" s="23"/>
      <c r="U422" s="96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ht="15.7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96"/>
      <c r="M423" s="23"/>
      <c r="N423" s="23"/>
      <c r="O423" s="23"/>
      <c r="P423" s="23"/>
      <c r="Q423" s="23"/>
      <c r="R423" s="23"/>
      <c r="S423" s="23"/>
      <c r="T423" s="23"/>
      <c r="U423" s="96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ht="15.7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96"/>
      <c r="M424" s="23"/>
      <c r="N424" s="23"/>
      <c r="O424" s="23"/>
      <c r="P424" s="23"/>
      <c r="Q424" s="23"/>
      <c r="R424" s="23"/>
      <c r="S424" s="23"/>
      <c r="T424" s="23"/>
      <c r="U424" s="96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ht="15.7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96"/>
      <c r="M425" s="23"/>
      <c r="N425" s="23"/>
      <c r="O425" s="23"/>
      <c r="P425" s="23"/>
      <c r="Q425" s="23"/>
      <c r="R425" s="23"/>
      <c r="S425" s="23"/>
      <c r="T425" s="23"/>
      <c r="U425" s="96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ht="15.7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96"/>
      <c r="M426" s="23"/>
      <c r="N426" s="23"/>
      <c r="O426" s="23"/>
      <c r="P426" s="23"/>
      <c r="Q426" s="23"/>
      <c r="R426" s="23"/>
      <c r="S426" s="23"/>
      <c r="T426" s="23"/>
      <c r="U426" s="96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ht="15.7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96"/>
      <c r="M427" s="23"/>
      <c r="N427" s="23"/>
      <c r="O427" s="23"/>
      <c r="P427" s="23"/>
      <c r="Q427" s="23"/>
      <c r="R427" s="23"/>
      <c r="S427" s="23"/>
      <c r="T427" s="23"/>
      <c r="U427" s="96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ht="15.7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96"/>
      <c r="M428" s="23"/>
      <c r="N428" s="23"/>
      <c r="O428" s="23"/>
      <c r="P428" s="23"/>
      <c r="Q428" s="23"/>
      <c r="R428" s="23"/>
      <c r="S428" s="23"/>
      <c r="T428" s="23"/>
      <c r="U428" s="96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ht="15.7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96"/>
      <c r="M429" s="23"/>
      <c r="N429" s="23"/>
      <c r="O429" s="23"/>
      <c r="P429" s="23"/>
      <c r="Q429" s="23"/>
      <c r="R429" s="23"/>
      <c r="S429" s="23"/>
      <c r="T429" s="23"/>
      <c r="U429" s="96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ht="15.7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96"/>
      <c r="M430" s="23"/>
      <c r="N430" s="23"/>
      <c r="O430" s="23"/>
      <c r="P430" s="23"/>
      <c r="Q430" s="23"/>
      <c r="R430" s="23"/>
      <c r="S430" s="23"/>
      <c r="T430" s="23"/>
      <c r="U430" s="96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ht="15.7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96"/>
      <c r="M431" s="23"/>
      <c r="N431" s="23"/>
      <c r="O431" s="23"/>
      <c r="P431" s="23"/>
      <c r="Q431" s="23"/>
      <c r="R431" s="23"/>
      <c r="S431" s="23"/>
      <c r="T431" s="23"/>
      <c r="U431" s="96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ht="15.7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96"/>
      <c r="M432" s="23"/>
      <c r="N432" s="23"/>
      <c r="O432" s="23"/>
      <c r="P432" s="23"/>
      <c r="Q432" s="23"/>
      <c r="R432" s="23"/>
      <c r="S432" s="23"/>
      <c r="T432" s="23"/>
      <c r="U432" s="96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ht="15.7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96"/>
      <c r="M433" s="23"/>
      <c r="N433" s="23"/>
      <c r="O433" s="23"/>
      <c r="P433" s="23"/>
      <c r="Q433" s="23"/>
      <c r="R433" s="23"/>
      <c r="S433" s="23"/>
      <c r="T433" s="23"/>
      <c r="U433" s="96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ht="15.7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96"/>
      <c r="M434" s="23"/>
      <c r="N434" s="23"/>
      <c r="O434" s="23"/>
      <c r="P434" s="23"/>
      <c r="Q434" s="23"/>
      <c r="R434" s="23"/>
      <c r="S434" s="23"/>
      <c r="T434" s="23"/>
      <c r="U434" s="96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ht="15.7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96"/>
      <c r="M435" s="23"/>
      <c r="N435" s="23"/>
      <c r="O435" s="23"/>
      <c r="P435" s="23"/>
      <c r="Q435" s="23"/>
      <c r="R435" s="23"/>
      <c r="S435" s="23"/>
      <c r="T435" s="23"/>
      <c r="U435" s="96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ht="15.7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96"/>
      <c r="M436" s="23"/>
      <c r="N436" s="23"/>
      <c r="O436" s="23"/>
      <c r="P436" s="23"/>
      <c r="Q436" s="23"/>
      <c r="R436" s="23"/>
      <c r="S436" s="23"/>
      <c r="T436" s="23"/>
      <c r="U436" s="96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ht="15.7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96"/>
      <c r="M437" s="23"/>
      <c r="N437" s="23"/>
      <c r="O437" s="23"/>
      <c r="P437" s="23"/>
      <c r="Q437" s="23"/>
      <c r="R437" s="23"/>
      <c r="S437" s="23"/>
      <c r="T437" s="23"/>
      <c r="U437" s="96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ht="15.7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96"/>
      <c r="M438" s="23"/>
      <c r="N438" s="23"/>
      <c r="O438" s="23"/>
      <c r="P438" s="23"/>
      <c r="Q438" s="23"/>
      <c r="R438" s="23"/>
      <c r="S438" s="23"/>
      <c r="T438" s="23"/>
      <c r="U438" s="96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ht="15.7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96"/>
      <c r="M439" s="23"/>
      <c r="N439" s="23"/>
      <c r="O439" s="23"/>
      <c r="P439" s="23"/>
      <c r="Q439" s="23"/>
      <c r="R439" s="23"/>
      <c r="S439" s="23"/>
      <c r="T439" s="23"/>
      <c r="U439" s="96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ht="15.7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96"/>
      <c r="M440" s="23"/>
      <c r="N440" s="23"/>
      <c r="O440" s="23"/>
      <c r="P440" s="23"/>
      <c r="Q440" s="23"/>
      <c r="R440" s="23"/>
      <c r="S440" s="23"/>
      <c r="T440" s="23"/>
      <c r="U440" s="96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ht="15.7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96"/>
      <c r="M441" s="23"/>
      <c r="N441" s="23"/>
      <c r="O441" s="23"/>
      <c r="P441" s="23"/>
      <c r="Q441" s="23"/>
      <c r="R441" s="23"/>
      <c r="S441" s="23"/>
      <c r="T441" s="23"/>
      <c r="U441" s="96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ht="15.7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96"/>
      <c r="M442" s="23"/>
      <c r="N442" s="23"/>
      <c r="O442" s="23"/>
      <c r="P442" s="23"/>
      <c r="Q442" s="23"/>
      <c r="R442" s="23"/>
      <c r="S442" s="23"/>
      <c r="T442" s="23"/>
      <c r="U442" s="96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ht="15.7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96"/>
      <c r="M443" s="23"/>
      <c r="N443" s="23"/>
      <c r="O443" s="23"/>
      <c r="P443" s="23"/>
      <c r="Q443" s="23"/>
      <c r="R443" s="23"/>
      <c r="S443" s="23"/>
      <c r="T443" s="23"/>
      <c r="U443" s="96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ht="15.7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96"/>
      <c r="M444" s="23"/>
      <c r="N444" s="23"/>
      <c r="O444" s="23"/>
      <c r="P444" s="23"/>
      <c r="Q444" s="23"/>
      <c r="R444" s="23"/>
      <c r="S444" s="23"/>
      <c r="T444" s="23"/>
      <c r="U444" s="96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ht="15.7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96"/>
      <c r="M445" s="23"/>
      <c r="N445" s="23"/>
      <c r="O445" s="23"/>
      <c r="P445" s="23"/>
      <c r="Q445" s="23"/>
      <c r="R445" s="23"/>
      <c r="S445" s="23"/>
      <c r="T445" s="23"/>
      <c r="U445" s="96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ht="15.7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96"/>
      <c r="M446" s="23"/>
      <c r="N446" s="23"/>
      <c r="O446" s="23"/>
      <c r="P446" s="23"/>
      <c r="Q446" s="23"/>
      <c r="R446" s="23"/>
      <c r="S446" s="23"/>
      <c r="T446" s="23"/>
      <c r="U446" s="96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ht="15.7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96"/>
      <c r="M447" s="23"/>
      <c r="N447" s="23"/>
      <c r="O447" s="23"/>
      <c r="P447" s="23"/>
      <c r="Q447" s="23"/>
      <c r="R447" s="23"/>
      <c r="S447" s="23"/>
      <c r="T447" s="23"/>
      <c r="U447" s="96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ht="15.7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96"/>
      <c r="M448" s="23"/>
      <c r="N448" s="23"/>
      <c r="O448" s="23"/>
      <c r="P448" s="23"/>
      <c r="Q448" s="23"/>
      <c r="R448" s="23"/>
      <c r="S448" s="23"/>
      <c r="T448" s="23"/>
      <c r="U448" s="96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ht="15.7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96"/>
      <c r="M449" s="23"/>
      <c r="N449" s="23"/>
      <c r="O449" s="23"/>
      <c r="P449" s="23"/>
      <c r="Q449" s="23"/>
      <c r="R449" s="23"/>
      <c r="S449" s="23"/>
      <c r="T449" s="23"/>
      <c r="U449" s="96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ht="15.7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96"/>
      <c r="M450" s="23"/>
      <c r="N450" s="23"/>
      <c r="O450" s="23"/>
      <c r="P450" s="23"/>
      <c r="Q450" s="23"/>
      <c r="R450" s="23"/>
      <c r="S450" s="23"/>
      <c r="T450" s="23"/>
      <c r="U450" s="96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ht="15.7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96"/>
      <c r="M451" s="23"/>
      <c r="N451" s="23"/>
      <c r="O451" s="23"/>
      <c r="P451" s="23"/>
      <c r="Q451" s="23"/>
      <c r="R451" s="23"/>
      <c r="S451" s="23"/>
      <c r="T451" s="23"/>
      <c r="U451" s="96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ht="15.7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96"/>
      <c r="M452" s="23"/>
      <c r="N452" s="23"/>
      <c r="O452" s="23"/>
      <c r="P452" s="23"/>
      <c r="Q452" s="23"/>
      <c r="R452" s="23"/>
      <c r="S452" s="23"/>
      <c r="T452" s="23"/>
      <c r="U452" s="96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ht="15.7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96"/>
      <c r="M453" s="23"/>
      <c r="N453" s="23"/>
      <c r="O453" s="23"/>
      <c r="P453" s="23"/>
      <c r="Q453" s="23"/>
      <c r="R453" s="23"/>
      <c r="S453" s="23"/>
      <c r="T453" s="23"/>
      <c r="U453" s="96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ht="15.7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96"/>
      <c r="M454" s="23"/>
      <c r="N454" s="23"/>
      <c r="O454" s="23"/>
      <c r="P454" s="23"/>
      <c r="Q454" s="23"/>
      <c r="R454" s="23"/>
      <c r="S454" s="23"/>
      <c r="T454" s="23"/>
      <c r="U454" s="96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ht="15.7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96"/>
      <c r="M455" s="23"/>
      <c r="N455" s="23"/>
      <c r="O455" s="23"/>
      <c r="P455" s="23"/>
      <c r="Q455" s="23"/>
      <c r="R455" s="23"/>
      <c r="S455" s="23"/>
      <c r="T455" s="23"/>
      <c r="U455" s="96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ht="15.7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96"/>
      <c r="M456" s="23"/>
      <c r="N456" s="23"/>
      <c r="O456" s="23"/>
      <c r="P456" s="23"/>
      <c r="Q456" s="23"/>
      <c r="R456" s="23"/>
      <c r="S456" s="23"/>
      <c r="T456" s="23"/>
      <c r="U456" s="96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ht="15.7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96"/>
      <c r="M457" s="23"/>
      <c r="N457" s="23"/>
      <c r="O457" s="23"/>
      <c r="P457" s="23"/>
      <c r="Q457" s="23"/>
      <c r="R457" s="23"/>
      <c r="S457" s="23"/>
      <c r="T457" s="23"/>
      <c r="U457" s="96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ht="15.7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96"/>
      <c r="M458" s="23"/>
      <c r="N458" s="23"/>
      <c r="O458" s="23"/>
      <c r="P458" s="23"/>
      <c r="Q458" s="23"/>
      <c r="R458" s="23"/>
      <c r="S458" s="23"/>
      <c r="T458" s="23"/>
      <c r="U458" s="96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ht="15.7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96"/>
      <c r="M459" s="23"/>
      <c r="N459" s="23"/>
      <c r="O459" s="23"/>
      <c r="P459" s="23"/>
      <c r="Q459" s="23"/>
      <c r="R459" s="23"/>
      <c r="S459" s="23"/>
      <c r="T459" s="23"/>
      <c r="U459" s="96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ht="15.7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96"/>
      <c r="M460" s="23"/>
      <c r="N460" s="23"/>
      <c r="O460" s="23"/>
      <c r="P460" s="23"/>
      <c r="Q460" s="23"/>
      <c r="R460" s="23"/>
      <c r="S460" s="23"/>
      <c r="T460" s="23"/>
      <c r="U460" s="96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ht="15.7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96"/>
      <c r="M461" s="23"/>
      <c r="N461" s="23"/>
      <c r="O461" s="23"/>
      <c r="P461" s="23"/>
      <c r="Q461" s="23"/>
      <c r="R461" s="23"/>
      <c r="S461" s="23"/>
      <c r="T461" s="23"/>
      <c r="U461" s="96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ht="15.7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96"/>
      <c r="M462" s="23"/>
      <c r="N462" s="23"/>
      <c r="O462" s="23"/>
      <c r="P462" s="23"/>
      <c r="Q462" s="23"/>
      <c r="R462" s="23"/>
      <c r="S462" s="23"/>
      <c r="T462" s="23"/>
      <c r="U462" s="96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ht="15.7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96"/>
      <c r="M463" s="23"/>
      <c r="N463" s="23"/>
      <c r="O463" s="23"/>
      <c r="P463" s="23"/>
      <c r="Q463" s="23"/>
      <c r="R463" s="23"/>
      <c r="S463" s="23"/>
      <c r="T463" s="23"/>
      <c r="U463" s="96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ht="15.7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96"/>
      <c r="M464" s="23"/>
      <c r="N464" s="23"/>
      <c r="O464" s="23"/>
      <c r="P464" s="23"/>
      <c r="Q464" s="23"/>
      <c r="R464" s="23"/>
      <c r="S464" s="23"/>
      <c r="T464" s="23"/>
      <c r="U464" s="96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ht="15.7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96"/>
      <c r="M465" s="23"/>
      <c r="N465" s="23"/>
      <c r="O465" s="23"/>
      <c r="P465" s="23"/>
      <c r="Q465" s="23"/>
      <c r="R465" s="23"/>
      <c r="S465" s="23"/>
      <c r="T465" s="23"/>
      <c r="U465" s="96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ht="15.7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96"/>
      <c r="M466" s="23"/>
      <c r="N466" s="23"/>
      <c r="O466" s="23"/>
      <c r="P466" s="23"/>
      <c r="Q466" s="23"/>
      <c r="R466" s="23"/>
      <c r="S466" s="23"/>
      <c r="T466" s="23"/>
      <c r="U466" s="96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ht="15.7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96"/>
      <c r="M467" s="23"/>
      <c r="N467" s="23"/>
      <c r="O467" s="23"/>
      <c r="P467" s="23"/>
      <c r="Q467" s="23"/>
      <c r="R467" s="23"/>
      <c r="S467" s="23"/>
      <c r="T467" s="23"/>
      <c r="U467" s="96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ht="15.7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96"/>
      <c r="M468" s="23"/>
      <c r="N468" s="23"/>
      <c r="O468" s="23"/>
      <c r="P468" s="23"/>
      <c r="Q468" s="23"/>
      <c r="R468" s="23"/>
      <c r="S468" s="23"/>
      <c r="T468" s="23"/>
      <c r="U468" s="96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ht="15.7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96"/>
      <c r="M469" s="23"/>
      <c r="N469" s="23"/>
      <c r="O469" s="23"/>
      <c r="P469" s="23"/>
      <c r="Q469" s="23"/>
      <c r="R469" s="23"/>
      <c r="S469" s="23"/>
      <c r="T469" s="23"/>
      <c r="U469" s="96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ht="15.7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96"/>
      <c r="M470" s="23"/>
      <c r="N470" s="23"/>
      <c r="O470" s="23"/>
      <c r="P470" s="23"/>
      <c r="Q470" s="23"/>
      <c r="R470" s="23"/>
      <c r="S470" s="23"/>
      <c r="T470" s="23"/>
      <c r="U470" s="96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ht="15.7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96"/>
      <c r="M471" s="23"/>
      <c r="N471" s="23"/>
      <c r="O471" s="23"/>
      <c r="P471" s="23"/>
      <c r="Q471" s="23"/>
      <c r="R471" s="23"/>
      <c r="S471" s="23"/>
      <c r="T471" s="23"/>
      <c r="U471" s="96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ht="15.7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96"/>
      <c r="M472" s="23"/>
      <c r="N472" s="23"/>
      <c r="O472" s="23"/>
      <c r="P472" s="23"/>
      <c r="Q472" s="23"/>
      <c r="R472" s="23"/>
      <c r="S472" s="23"/>
      <c r="T472" s="23"/>
      <c r="U472" s="96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ht="15.7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96"/>
      <c r="M473" s="23"/>
      <c r="N473" s="23"/>
      <c r="O473" s="23"/>
      <c r="P473" s="23"/>
      <c r="Q473" s="23"/>
      <c r="R473" s="23"/>
      <c r="S473" s="23"/>
      <c r="T473" s="23"/>
      <c r="U473" s="96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ht="15.7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96"/>
      <c r="M474" s="23"/>
      <c r="N474" s="23"/>
      <c r="O474" s="23"/>
      <c r="P474" s="23"/>
      <c r="Q474" s="23"/>
      <c r="R474" s="23"/>
      <c r="S474" s="23"/>
      <c r="T474" s="23"/>
      <c r="U474" s="96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ht="15.7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96"/>
      <c r="M475" s="23"/>
      <c r="N475" s="23"/>
      <c r="O475" s="23"/>
      <c r="P475" s="23"/>
      <c r="Q475" s="23"/>
      <c r="R475" s="23"/>
      <c r="S475" s="23"/>
      <c r="T475" s="23"/>
      <c r="U475" s="96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ht="15.7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96"/>
      <c r="M476" s="23"/>
      <c r="N476" s="23"/>
      <c r="O476" s="23"/>
      <c r="P476" s="23"/>
      <c r="Q476" s="23"/>
      <c r="R476" s="23"/>
      <c r="S476" s="23"/>
      <c r="T476" s="23"/>
      <c r="U476" s="96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ht="15.7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96"/>
      <c r="M477" s="23"/>
      <c r="N477" s="23"/>
      <c r="O477" s="23"/>
      <c r="P477" s="23"/>
      <c r="Q477" s="23"/>
      <c r="R477" s="23"/>
      <c r="S477" s="23"/>
      <c r="T477" s="23"/>
      <c r="U477" s="96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ht="15.7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96"/>
      <c r="M478" s="23"/>
      <c r="N478" s="23"/>
      <c r="O478" s="23"/>
      <c r="P478" s="23"/>
      <c r="Q478" s="23"/>
      <c r="R478" s="23"/>
      <c r="S478" s="23"/>
      <c r="T478" s="23"/>
      <c r="U478" s="96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ht="15.7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96"/>
      <c r="M479" s="23"/>
      <c r="N479" s="23"/>
      <c r="O479" s="23"/>
      <c r="P479" s="23"/>
      <c r="Q479" s="23"/>
      <c r="R479" s="23"/>
      <c r="S479" s="23"/>
      <c r="T479" s="23"/>
      <c r="U479" s="96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ht="15.7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96"/>
      <c r="M480" s="23"/>
      <c r="N480" s="23"/>
      <c r="O480" s="23"/>
      <c r="P480" s="23"/>
      <c r="Q480" s="23"/>
      <c r="R480" s="23"/>
      <c r="S480" s="23"/>
      <c r="T480" s="23"/>
      <c r="U480" s="96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ht="15.7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96"/>
      <c r="M481" s="23"/>
      <c r="N481" s="23"/>
      <c r="O481" s="23"/>
      <c r="P481" s="23"/>
      <c r="Q481" s="23"/>
      <c r="R481" s="23"/>
      <c r="S481" s="23"/>
      <c r="T481" s="23"/>
      <c r="U481" s="96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ht="15.7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96"/>
      <c r="M482" s="23"/>
      <c r="N482" s="23"/>
      <c r="O482" s="23"/>
      <c r="P482" s="23"/>
      <c r="Q482" s="23"/>
      <c r="R482" s="23"/>
      <c r="S482" s="23"/>
      <c r="T482" s="23"/>
      <c r="U482" s="96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ht="15.7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96"/>
      <c r="M483" s="23"/>
      <c r="N483" s="23"/>
      <c r="O483" s="23"/>
      <c r="P483" s="23"/>
      <c r="Q483" s="23"/>
      <c r="R483" s="23"/>
      <c r="S483" s="23"/>
      <c r="T483" s="23"/>
      <c r="U483" s="96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ht="15.7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96"/>
      <c r="M484" s="23"/>
      <c r="N484" s="23"/>
      <c r="O484" s="23"/>
      <c r="P484" s="23"/>
      <c r="Q484" s="23"/>
      <c r="R484" s="23"/>
      <c r="S484" s="23"/>
      <c r="T484" s="23"/>
      <c r="U484" s="96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ht="15.7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96"/>
      <c r="M485" s="23"/>
      <c r="N485" s="23"/>
      <c r="O485" s="23"/>
      <c r="P485" s="23"/>
      <c r="Q485" s="23"/>
      <c r="R485" s="23"/>
      <c r="S485" s="23"/>
      <c r="T485" s="23"/>
      <c r="U485" s="96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ht="15.7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96"/>
      <c r="M486" s="23"/>
      <c r="N486" s="23"/>
      <c r="O486" s="23"/>
      <c r="P486" s="23"/>
      <c r="Q486" s="23"/>
      <c r="R486" s="23"/>
      <c r="S486" s="23"/>
      <c r="T486" s="23"/>
      <c r="U486" s="96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ht="15.7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96"/>
      <c r="M487" s="23"/>
      <c r="N487" s="23"/>
      <c r="O487" s="23"/>
      <c r="P487" s="23"/>
      <c r="Q487" s="23"/>
      <c r="R487" s="23"/>
      <c r="S487" s="23"/>
      <c r="T487" s="23"/>
      <c r="U487" s="96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ht="15.7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96"/>
      <c r="M488" s="23"/>
      <c r="N488" s="23"/>
      <c r="O488" s="23"/>
      <c r="P488" s="23"/>
      <c r="Q488" s="23"/>
      <c r="R488" s="23"/>
      <c r="S488" s="23"/>
      <c r="T488" s="23"/>
      <c r="U488" s="96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ht="15.7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96"/>
      <c r="M489" s="23"/>
      <c r="N489" s="23"/>
      <c r="O489" s="23"/>
      <c r="P489" s="23"/>
      <c r="Q489" s="23"/>
      <c r="R489" s="23"/>
      <c r="S489" s="23"/>
      <c r="T489" s="23"/>
      <c r="U489" s="96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ht="15.7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96"/>
      <c r="M490" s="23"/>
      <c r="N490" s="23"/>
      <c r="O490" s="23"/>
      <c r="P490" s="23"/>
      <c r="Q490" s="23"/>
      <c r="R490" s="23"/>
      <c r="S490" s="23"/>
      <c r="T490" s="23"/>
      <c r="U490" s="96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ht="15.7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96"/>
      <c r="M491" s="23"/>
      <c r="N491" s="23"/>
      <c r="O491" s="23"/>
      <c r="P491" s="23"/>
      <c r="Q491" s="23"/>
      <c r="R491" s="23"/>
      <c r="S491" s="23"/>
      <c r="T491" s="23"/>
      <c r="U491" s="96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ht="15.7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96"/>
      <c r="M492" s="23"/>
      <c r="N492" s="23"/>
      <c r="O492" s="23"/>
      <c r="P492" s="23"/>
      <c r="Q492" s="23"/>
      <c r="R492" s="23"/>
      <c r="S492" s="23"/>
      <c r="T492" s="23"/>
      <c r="U492" s="96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ht="15.7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96"/>
      <c r="M493" s="23"/>
      <c r="N493" s="23"/>
      <c r="O493" s="23"/>
      <c r="P493" s="23"/>
      <c r="Q493" s="23"/>
      <c r="R493" s="23"/>
      <c r="S493" s="23"/>
      <c r="T493" s="23"/>
      <c r="U493" s="96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ht="15.7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96"/>
      <c r="M494" s="23"/>
      <c r="N494" s="23"/>
      <c r="O494" s="23"/>
      <c r="P494" s="23"/>
      <c r="Q494" s="23"/>
      <c r="R494" s="23"/>
      <c r="S494" s="23"/>
      <c r="T494" s="23"/>
      <c r="U494" s="96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ht="15.7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96"/>
      <c r="M495" s="23"/>
      <c r="N495" s="23"/>
      <c r="O495" s="23"/>
      <c r="P495" s="23"/>
      <c r="Q495" s="23"/>
      <c r="R495" s="23"/>
      <c r="S495" s="23"/>
      <c r="T495" s="23"/>
      <c r="U495" s="96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ht="15.7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96"/>
      <c r="M496" s="23"/>
      <c r="N496" s="23"/>
      <c r="O496" s="23"/>
      <c r="P496" s="23"/>
      <c r="Q496" s="23"/>
      <c r="R496" s="23"/>
      <c r="S496" s="23"/>
      <c r="T496" s="23"/>
      <c r="U496" s="96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ht="15.7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96"/>
      <c r="M497" s="23"/>
      <c r="N497" s="23"/>
      <c r="O497" s="23"/>
      <c r="P497" s="23"/>
      <c r="Q497" s="23"/>
      <c r="R497" s="23"/>
      <c r="S497" s="23"/>
      <c r="T497" s="23"/>
      <c r="U497" s="96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ht="15.7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96"/>
      <c r="M498" s="23"/>
      <c r="N498" s="23"/>
      <c r="O498" s="23"/>
      <c r="P498" s="23"/>
      <c r="Q498" s="23"/>
      <c r="R498" s="23"/>
      <c r="S498" s="23"/>
      <c r="T498" s="23"/>
      <c r="U498" s="96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ht="15.7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96"/>
      <c r="M499" s="23"/>
      <c r="N499" s="23"/>
      <c r="O499" s="23"/>
      <c r="P499" s="23"/>
      <c r="Q499" s="23"/>
      <c r="R499" s="23"/>
      <c r="S499" s="23"/>
      <c r="T499" s="23"/>
      <c r="U499" s="96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ht="15.7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96"/>
      <c r="M500" s="23"/>
      <c r="N500" s="23"/>
      <c r="O500" s="23"/>
      <c r="P500" s="23"/>
      <c r="Q500" s="23"/>
      <c r="R500" s="23"/>
      <c r="S500" s="23"/>
      <c r="T500" s="23"/>
      <c r="U500" s="96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ht="15.7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96"/>
      <c r="M501" s="23"/>
      <c r="N501" s="23"/>
      <c r="O501" s="23"/>
      <c r="P501" s="23"/>
      <c r="Q501" s="23"/>
      <c r="R501" s="23"/>
      <c r="S501" s="23"/>
      <c r="T501" s="23"/>
      <c r="U501" s="96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ht="15.7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96"/>
      <c r="M502" s="23"/>
      <c r="N502" s="23"/>
      <c r="O502" s="23"/>
      <c r="P502" s="23"/>
      <c r="Q502" s="23"/>
      <c r="R502" s="23"/>
      <c r="S502" s="23"/>
      <c r="T502" s="23"/>
      <c r="U502" s="96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ht="15.7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96"/>
      <c r="M503" s="23"/>
      <c r="N503" s="23"/>
      <c r="O503" s="23"/>
      <c r="P503" s="23"/>
      <c r="Q503" s="23"/>
      <c r="R503" s="23"/>
      <c r="S503" s="23"/>
      <c r="T503" s="23"/>
      <c r="U503" s="96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ht="15.7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96"/>
      <c r="M504" s="23"/>
      <c r="N504" s="23"/>
      <c r="O504" s="23"/>
      <c r="P504" s="23"/>
      <c r="Q504" s="23"/>
      <c r="R504" s="23"/>
      <c r="S504" s="23"/>
      <c r="T504" s="23"/>
      <c r="U504" s="96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ht="15.7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96"/>
      <c r="M505" s="23"/>
      <c r="N505" s="23"/>
      <c r="O505" s="23"/>
      <c r="P505" s="23"/>
      <c r="Q505" s="23"/>
      <c r="R505" s="23"/>
      <c r="S505" s="23"/>
      <c r="T505" s="23"/>
      <c r="U505" s="96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ht="15.7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96"/>
      <c r="M506" s="23"/>
      <c r="N506" s="23"/>
      <c r="O506" s="23"/>
      <c r="P506" s="23"/>
      <c r="Q506" s="23"/>
      <c r="R506" s="23"/>
      <c r="S506" s="23"/>
      <c r="T506" s="23"/>
      <c r="U506" s="96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ht="15.7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96"/>
      <c r="M507" s="23"/>
      <c r="N507" s="23"/>
      <c r="O507" s="23"/>
      <c r="P507" s="23"/>
      <c r="Q507" s="23"/>
      <c r="R507" s="23"/>
      <c r="S507" s="23"/>
      <c r="T507" s="23"/>
      <c r="U507" s="96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ht="15.7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96"/>
      <c r="M508" s="23"/>
      <c r="N508" s="23"/>
      <c r="O508" s="23"/>
      <c r="P508" s="23"/>
      <c r="Q508" s="23"/>
      <c r="R508" s="23"/>
      <c r="S508" s="23"/>
      <c r="T508" s="23"/>
      <c r="U508" s="96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ht="15.7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96"/>
      <c r="M509" s="23"/>
      <c r="N509" s="23"/>
      <c r="O509" s="23"/>
      <c r="P509" s="23"/>
      <c r="Q509" s="23"/>
      <c r="R509" s="23"/>
      <c r="S509" s="23"/>
      <c r="T509" s="23"/>
      <c r="U509" s="96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ht="15.7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96"/>
      <c r="M510" s="23"/>
      <c r="N510" s="23"/>
      <c r="O510" s="23"/>
      <c r="P510" s="23"/>
      <c r="Q510" s="23"/>
      <c r="R510" s="23"/>
      <c r="S510" s="23"/>
      <c r="T510" s="23"/>
      <c r="U510" s="96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ht="15.7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96"/>
      <c r="M511" s="23"/>
      <c r="N511" s="23"/>
      <c r="O511" s="23"/>
      <c r="P511" s="23"/>
      <c r="Q511" s="23"/>
      <c r="R511" s="23"/>
      <c r="S511" s="23"/>
      <c r="T511" s="23"/>
      <c r="U511" s="96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ht="15.7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96"/>
      <c r="M512" s="23"/>
      <c r="N512" s="23"/>
      <c r="O512" s="23"/>
      <c r="P512" s="23"/>
      <c r="Q512" s="23"/>
      <c r="R512" s="23"/>
      <c r="S512" s="23"/>
      <c r="T512" s="23"/>
      <c r="U512" s="96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ht="15.7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96"/>
      <c r="M513" s="23"/>
      <c r="N513" s="23"/>
      <c r="O513" s="23"/>
      <c r="P513" s="23"/>
      <c r="Q513" s="23"/>
      <c r="R513" s="23"/>
      <c r="S513" s="23"/>
      <c r="T513" s="23"/>
      <c r="U513" s="96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ht="15.7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96"/>
      <c r="M514" s="23"/>
      <c r="N514" s="23"/>
      <c r="O514" s="23"/>
      <c r="P514" s="23"/>
      <c r="Q514" s="23"/>
      <c r="R514" s="23"/>
      <c r="S514" s="23"/>
      <c r="T514" s="23"/>
      <c r="U514" s="96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ht="15.7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96"/>
      <c r="M515" s="23"/>
      <c r="N515" s="23"/>
      <c r="O515" s="23"/>
      <c r="P515" s="23"/>
      <c r="Q515" s="23"/>
      <c r="R515" s="23"/>
      <c r="S515" s="23"/>
      <c r="T515" s="23"/>
      <c r="U515" s="96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ht="15.7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96"/>
      <c r="M516" s="23"/>
      <c r="N516" s="23"/>
      <c r="O516" s="23"/>
      <c r="P516" s="23"/>
      <c r="Q516" s="23"/>
      <c r="R516" s="23"/>
      <c r="S516" s="23"/>
      <c r="T516" s="23"/>
      <c r="U516" s="96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ht="15.7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96"/>
      <c r="M517" s="23"/>
      <c r="N517" s="23"/>
      <c r="O517" s="23"/>
      <c r="P517" s="23"/>
      <c r="Q517" s="23"/>
      <c r="R517" s="23"/>
      <c r="S517" s="23"/>
      <c r="T517" s="23"/>
      <c r="U517" s="96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ht="15.7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96"/>
      <c r="M518" s="23"/>
      <c r="N518" s="23"/>
      <c r="O518" s="23"/>
      <c r="P518" s="23"/>
      <c r="Q518" s="23"/>
      <c r="R518" s="23"/>
      <c r="S518" s="23"/>
      <c r="T518" s="23"/>
      <c r="U518" s="96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ht="15.7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96"/>
      <c r="M519" s="23"/>
      <c r="N519" s="23"/>
      <c r="O519" s="23"/>
      <c r="P519" s="23"/>
      <c r="Q519" s="23"/>
      <c r="R519" s="23"/>
      <c r="S519" s="23"/>
      <c r="T519" s="23"/>
      <c r="U519" s="96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ht="15.7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96"/>
      <c r="M520" s="23"/>
      <c r="N520" s="23"/>
      <c r="O520" s="23"/>
      <c r="P520" s="23"/>
      <c r="Q520" s="23"/>
      <c r="R520" s="23"/>
      <c r="S520" s="23"/>
      <c r="T520" s="23"/>
      <c r="U520" s="96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ht="15.7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96"/>
      <c r="M521" s="23"/>
      <c r="N521" s="23"/>
      <c r="O521" s="23"/>
      <c r="P521" s="23"/>
      <c r="Q521" s="23"/>
      <c r="R521" s="23"/>
      <c r="S521" s="23"/>
      <c r="T521" s="23"/>
      <c r="U521" s="96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ht="15.7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96"/>
      <c r="M522" s="23"/>
      <c r="N522" s="23"/>
      <c r="O522" s="23"/>
      <c r="P522" s="23"/>
      <c r="Q522" s="23"/>
      <c r="R522" s="23"/>
      <c r="S522" s="23"/>
      <c r="T522" s="23"/>
      <c r="U522" s="96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ht="15.7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96"/>
      <c r="M523" s="23"/>
      <c r="N523" s="23"/>
      <c r="O523" s="23"/>
      <c r="P523" s="23"/>
      <c r="Q523" s="23"/>
      <c r="R523" s="23"/>
      <c r="S523" s="23"/>
      <c r="T523" s="23"/>
      <c r="U523" s="96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ht="15.7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96"/>
      <c r="M524" s="23"/>
      <c r="N524" s="23"/>
      <c r="O524" s="23"/>
      <c r="P524" s="23"/>
      <c r="Q524" s="23"/>
      <c r="R524" s="23"/>
      <c r="S524" s="23"/>
      <c r="T524" s="23"/>
      <c r="U524" s="96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ht="15.7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96"/>
      <c r="M525" s="23"/>
      <c r="N525" s="23"/>
      <c r="O525" s="23"/>
      <c r="P525" s="23"/>
      <c r="Q525" s="23"/>
      <c r="R525" s="23"/>
      <c r="S525" s="23"/>
      <c r="T525" s="23"/>
      <c r="U525" s="96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ht="15.7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96"/>
      <c r="M526" s="23"/>
      <c r="N526" s="23"/>
      <c r="O526" s="23"/>
      <c r="P526" s="23"/>
      <c r="Q526" s="23"/>
      <c r="R526" s="23"/>
      <c r="S526" s="23"/>
      <c r="T526" s="23"/>
      <c r="U526" s="96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ht="15.7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96"/>
      <c r="M527" s="23"/>
      <c r="N527" s="23"/>
      <c r="O527" s="23"/>
      <c r="P527" s="23"/>
      <c r="Q527" s="23"/>
      <c r="R527" s="23"/>
      <c r="S527" s="23"/>
      <c r="T527" s="23"/>
      <c r="U527" s="96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ht="15.7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96"/>
      <c r="M528" s="23"/>
      <c r="N528" s="23"/>
      <c r="O528" s="23"/>
      <c r="P528" s="23"/>
      <c r="Q528" s="23"/>
      <c r="R528" s="23"/>
      <c r="S528" s="23"/>
      <c r="T528" s="23"/>
      <c r="U528" s="96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ht="15.7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96"/>
      <c r="M529" s="23"/>
      <c r="N529" s="23"/>
      <c r="O529" s="23"/>
      <c r="P529" s="23"/>
      <c r="Q529" s="23"/>
      <c r="R529" s="23"/>
      <c r="S529" s="23"/>
      <c r="T529" s="23"/>
      <c r="U529" s="96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ht="15.7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96"/>
      <c r="M530" s="23"/>
      <c r="N530" s="23"/>
      <c r="O530" s="23"/>
      <c r="P530" s="23"/>
      <c r="Q530" s="23"/>
      <c r="R530" s="23"/>
      <c r="S530" s="23"/>
      <c r="T530" s="23"/>
      <c r="U530" s="96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ht="15.7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96"/>
      <c r="M531" s="23"/>
      <c r="N531" s="23"/>
      <c r="O531" s="23"/>
      <c r="P531" s="23"/>
      <c r="Q531" s="23"/>
      <c r="R531" s="23"/>
      <c r="S531" s="23"/>
      <c r="T531" s="23"/>
      <c r="U531" s="96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ht="15.7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96"/>
      <c r="M532" s="23"/>
      <c r="N532" s="23"/>
      <c r="O532" s="23"/>
      <c r="P532" s="23"/>
      <c r="Q532" s="23"/>
      <c r="R532" s="23"/>
      <c r="S532" s="23"/>
      <c r="T532" s="23"/>
      <c r="U532" s="96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ht="15.7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96"/>
      <c r="M533" s="23"/>
      <c r="N533" s="23"/>
      <c r="O533" s="23"/>
      <c r="P533" s="23"/>
      <c r="Q533" s="23"/>
      <c r="R533" s="23"/>
      <c r="S533" s="23"/>
      <c r="T533" s="23"/>
      <c r="U533" s="96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ht="15.7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96"/>
      <c r="M534" s="23"/>
      <c r="N534" s="23"/>
      <c r="O534" s="23"/>
      <c r="P534" s="23"/>
      <c r="Q534" s="23"/>
      <c r="R534" s="23"/>
      <c r="S534" s="23"/>
      <c r="T534" s="23"/>
      <c r="U534" s="96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ht="15.7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96"/>
      <c r="M535" s="23"/>
      <c r="N535" s="23"/>
      <c r="O535" s="23"/>
      <c r="P535" s="23"/>
      <c r="Q535" s="23"/>
      <c r="R535" s="23"/>
      <c r="S535" s="23"/>
      <c r="T535" s="23"/>
      <c r="U535" s="96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ht="15.7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96"/>
      <c r="M536" s="23"/>
      <c r="N536" s="23"/>
      <c r="O536" s="23"/>
      <c r="P536" s="23"/>
      <c r="Q536" s="23"/>
      <c r="R536" s="23"/>
      <c r="S536" s="23"/>
      <c r="T536" s="23"/>
      <c r="U536" s="96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ht="15.7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96"/>
      <c r="M537" s="23"/>
      <c r="N537" s="23"/>
      <c r="O537" s="23"/>
      <c r="P537" s="23"/>
      <c r="Q537" s="23"/>
      <c r="R537" s="23"/>
      <c r="S537" s="23"/>
      <c r="T537" s="23"/>
      <c r="U537" s="96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ht="15.7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96"/>
      <c r="M538" s="23"/>
      <c r="N538" s="23"/>
      <c r="O538" s="23"/>
      <c r="P538" s="23"/>
      <c r="Q538" s="23"/>
      <c r="R538" s="23"/>
      <c r="S538" s="23"/>
      <c r="T538" s="23"/>
      <c r="U538" s="96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ht="15.7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96"/>
      <c r="M539" s="23"/>
      <c r="N539" s="23"/>
      <c r="O539" s="23"/>
      <c r="P539" s="23"/>
      <c r="Q539" s="23"/>
      <c r="R539" s="23"/>
      <c r="S539" s="23"/>
      <c r="T539" s="23"/>
      <c r="U539" s="96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ht="15.7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96"/>
      <c r="M540" s="23"/>
      <c r="N540" s="23"/>
      <c r="O540" s="23"/>
      <c r="P540" s="23"/>
      <c r="Q540" s="23"/>
      <c r="R540" s="23"/>
      <c r="S540" s="23"/>
      <c r="T540" s="23"/>
      <c r="U540" s="96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ht="15.7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96"/>
      <c r="M541" s="23"/>
      <c r="N541" s="23"/>
      <c r="O541" s="23"/>
      <c r="P541" s="23"/>
      <c r="Q541" s="23"/>
      <c r="R541" s="23"/>
      <c r="S541" s="23"/>
      <c r="T541" s="23"/>
      <c r="U541" s="96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ht="15.7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96"/>
      <c r="M542" s="23"/>
      <c r="N542" s="23"/>
      <c r="O542" s="23"/>
      <c r="P542" s="23"/>
      <c r="Q542" s="23"/>
      <c r="R542" s="23"/>
      <c r="S542" s="23"/>
      <c r="T542" s="23"/>
      <c r="U542" s="96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ht="15.7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96"/>
      <c r="M543" s="23"/>
      <c r="N543" s="23"/>
      <c r="O543" s="23"/>
      <c r="P543" s="23"/>
      <c r="Q543" s="23"/>
      <c r="R543" s="23"/>
      <c r="S543" s="23"/>
      <c r="T543" s="23"/>
      <c r="U543" s="96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ht="15.7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96"/>
      <c r="M544" s="23"/>
      <c r="N544" s="23"/>
      <c r="O544" s="23"/>
      <c r="P544" s="23"/>
      <c r="Q544" s="23"/>
      <c r="R544" s="23"/>
      <c r="S544" s="23"/>
      <c r="T544" s="23"/>
      <c r="U544" s="96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ht="15.7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96"/>
      <c r="M545" s="23"/>
      <c r="N545" s="23"/>
      <c r="O545" s="23"/>
      <c r="P545" s="23"/>
      <c r="Q545" s="23"/>
      <c r="R545" s="23"/>
      <c r="S545" s="23"/>
      <c r="T545" s="23"/>
      <c r="U545" s="96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ht="15.7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96"/>
      <c r="M546" s="23"/>
      <c r="N546" s="23"/>
      <c r="O546" s="23"/>
      <c r="P546" s="23"/>
      <c r="Q546" s="23"/>
      <c r="R546" s="23"/>
      <c r="S546" s="23"/>
      <c r="T546" s="23"/>
      <c r="U546" s="96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ht="15.7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96"/>
      <c r="M547" s="23"/>
      <c r="N547" s="23"/>
      <c r="O547" s="23"/>
      <c r="P547" s="23"/>
      <c r="Q547" s="23"/>
      <c r="R547" s="23"/>
      <c r="S547" s="23"/>
      <c r="T547" s="23"/>
      <c r="U547" s="96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ht="15.7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96"/>
      <c r="M548" s="23"/>
      <c r="N548" s="23"/>
      <c r="O548" s="23"/>
      <c r="P548" s="23"/>
      <c r="Q548" s="23"/>
      <c r="R548" s="23"/>
      <c r="S548" s="23"/>
      <c r="T548" s="23"/>
      <c r="U548" s="96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ht="15.7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96"/>
      <c r="M549" s="23"/>
      <c r="N549" s="23"/>
      <c r="O549" s="23"/>
      <c r="P549" s="23"/>
      <c r="Q549" s="23"/>
      <c r="R549" s="23"/>
      <c r="S549" s="23"/>
      <c r="T549" s="23"/>
      <c r="U549" s="96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ht="15.7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96"/>
      <c r="M550" s="23"/>
      <c r="N550" s="23"/>
      <c r="O550" s="23"/>
      <c r="P550" s="23"/>
      <c r="Q550" s="23"/>
      <c r="R550" s="23"/>
      <c r="S550" s="23"/>
      <c r="T550" s="23"/>
      <c r="U550" s="96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ht="15.7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96"/>
      <c r="M551" s="23"/>
      <c r="N551" s="23"/>
      <c r="O551" s="23"/>
      <c r="P551" s="23"/>
      <c r="Q551" s="23"/>
      <c r="R551" s="23"/>
      <c r="S551" s="23"/>
      <c r="T551" s="23"/>
      <c r="U551" s="96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ht="15.7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96"/>
      <c r="M552" s="23"/>
      <c r="N552" s="23"/>
      <c r="O552" s="23"/>
      <c r="P552" s="23"/>
      <c r="Q552" s="23"/>
      <c r="R552" s="23"/>
      <c r="S552" s="23"/>
      <c r="T552" s="23"/>
      <c r="U552" s="96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ht="15.7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96"/>
      <c r="M553" s="23"/>
      <c r="N553" s="23"/>
      <c r="O553" s="23"/>
      <c r="P553" s="23"/>
      <c r="Q553" s="23"/>
      <c r="R553" s="23"/>
      <c r="S553" s="23"/>
      <c r="T553" s="23"/>
      <c r="U553" s="96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ht="15.7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96"/>
      <c r="M554" s="23"/>
      <c r="N554" s="23"/>
      <c r="O554" s="23"/>
      <c r="P554" s="23"/>
      <c r="Q554" s="23"/>
      <c r="R554" s="23"/>
      <c r="S554" s="23"/>
      <c r="T554" s="23"/>
      <c r="U554" s="96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ht="15.7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96"/>
      <c r="M555" s="23"/>
      <c r="N555" s="23"/>
      <c r="O555" s="23"/>
      <c r="P555" s="23"/>
      <c r="Q555" s="23"/>
      <c r="R555" s="23"/>
      <c r="S555" s="23"/>
      <c r="T555" s="23"/>
      <c r="U555" s="96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ht="15.7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96"/>
      <c r="M556" s="23"/>
      <c r="N556" s="23"/>
      <c r="O556" s="23"/>
      <c r="P556" s="23"/>
      <c r="Q556" s="23"/>
      <c r="R556" s="23"/>
      <c r="S556" s="23"/>
      <c r="T556" s="23"/>
      <c r="U556" s="96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ht="15.7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96"/>
      <c r="M557" s="23"/>
      <c r="N557" s="23"/>
      <c r="O557" s="23"/>
      <c r="P557" s="23"/>
      <c r="Q557" s="23"/>
      <c r="R557" s="23"/>
      <c r="S557" s="23"/>
      <c r="T557" s="23"/>
      <c r="U557" s="96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ht="15.7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96"/>
      <c r="M558" s="23"/>
      <c r="N558" s="23"/>
      <c r="O558" s="23"/>
      <c r="P558" s="23"/>
      <c r="Q558" s="23"/>
      <c r="R558" s="23"/>
      <c r="S558" s="23"/>
      <c r="T558" s="23"/>
      <c r="U558" s="96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ht="15.7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96"/>
      <c r="M559" s="23"/>
      <c r="N559" s="23"/>
      <c r="O559" s="23"/>
      <c r="P559" s="23"/>
      <c r="Q559" s="23"/>
      <c r="R559" s="23"/>
      <c r="S559" s="23"/>
      <c r="T559" s="23"/>
      <c r="U559" s="96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ht="15.7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96"/>
      <c r="M560" s="23"/>
      <c r="N560" s="23"/>
      <c r="O560" s="23"/>
      <c r="P560" s="23"/>
      <c r="Q560" s="23"/>
      <c r="R560" s="23"/>
      <c r="S560" s="23"/>
      <c r="T560" s="23"/>
      <c r="U560" s="96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ht="15.7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96"/>
      <c r="M561" s="23"/>
      <c r="N561" s="23"/>
      <c r="O561" s="23"/>
      <c r="P561" s="23"/>
      <c r="Q561" s="23"/>
      <c r="R561" s="23"/>
      <c r="S561" s="23"/>
      <c r="T561" s="23"/>
      <c r="U561" s="96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ht="15.7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96"/>
      <c r="M562" s="23"/>
      <c r="N562" s="23"/>
      <c r="O562" s="23"/>
      <c r="P562" s="23"/>
      <c r="Q562" s="23"/>
      <c r="R562" s="23"/>
      <c r="S562" s="23"/>
      <c r="T562" s="23"/>
      <c r="U562" s="96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ht="15.7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96"/>
      <c r="M563" s="23"/>
      <c r="N563" s="23"/>
      <c r="O563" s="23"/>
      <c r="P563" s="23"/>
      <c r="Q563" s="23"/>
      <c r="R563" s="23"/>
      <c r="S563" s="23"/>
      <c r="T563" s="23"/>
      <c r="U563" s="96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ht="15.7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96"/>
      <c r="M564" s="23"/>
      <c r="N564" s="23"/>
      <c r="O564" s="23"/>
      <c r="P564" s="23"/>
      <c r="Q564" s="23"/>
      <c r="R564" s="23"/>
      <c r="S564" s="23"/>
      <c r="T564" s="23"/>
      <c r="U564" s="96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ht="15.7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96"/>
      <c r="M565" s="23"/>
      <c r="N565" s="23"/>
      <c r="O565" s="23"/>
      <c r="P565" s="23"/>
      <c r="Q565" s="23"/>
      <c r="R565" s="23"/>
      <c r="S565" s="23"/>
      <c r="T565" s="23"/>
      <c r="U565" s="96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ht="15.7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96"/>
      <c r="M566" s="23"/>
      <c r="N566" s="23"/>
      <c r="O566" s="23"/>
      <c r="P566" s="23"/>
      <c r="Q566" s="23"/>
      <c r="R566" s="23"/>
      <c r="S566" s="23"/>
      <c r="T566" s="23"/>
      <c r="U566" s="96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ht="15.7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96"/>
      <c r="M567" s="23"/>
      <c r="N567" s="23"/>
      <c r="O567" s="23"/>
      <c r="P567" s="23"/>
      <c r="Q567" s="23"/>
      <c r="R567" s="23"/>
      <c r="S567" s="23"/>
      <c r="T567" s="23"/>
      <c r="U567" s="96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ht="15.7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96"/>
      <c r="M568" s="23"/>
      <c r="N568" s="23"/>
      <c r="O568" s="23"/>
      <c r="P568" s="23"/>
      <c r="Q568" s="23"/>
      <c r="R568" s="23"/>
      <c r="S568" s="23"/>
      <c r="T568" s="23"/>
      <c r="U568" s="96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ht="15.7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96"/>
      <c r="M569" s="23"/>
      <c r="N569" s="23"/>
      <c r="O569" s="23"/>
      <c r="P569" s="23"/>
      <c r="Q569" s="23"/>
      <c r="R569" s="23"/>
      <c r="S569" s="23"/>
      <c r="T569" s="23"/>
      <c r="U569" s="96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ht="15.7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96"/>
      <c r="M570" s="23"/>
      <c r="N570" s="23"/>
      <c r="O570" s="23"/>
      <c r="P570" s="23"/>
      <c r="Q570" s="23"/>
      <c r="R570" s="23"/>
      <c r="S570" s="23"/>
      <c r="T570" s="23"/>
      <c r="U570" s="96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ht="15.7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96"/>
      <c r="M571" s="23"/>
      <c r="N571" s="23"/>
      <c r="O571" s="23"/>
      <c r="P571" s="23"/>
      <c r="Q571" s="23"/>
      <c r="R571" s="23"/>
      <c r="S571" s="23"/>
      <c r="T571" s="23"/>
      <c r="U571" s="96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ht="15.7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96"/>
      <c r="M572" s="23"/>
      <c r="N572" s="23"/>
      <c r="O572" s="23"/>
      <c r="P572" s="23"/>
      <c r="Q572" s="23"/>
      <c r="R572" s="23"/>
      <c r="S572" s="23"/>
      <c r="T572" s="23"/>
      <c r="U572" s="96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ht="15.7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96"/>
      <c r="M573" s="23"/>
      <c r="N573" s="23"/>
      <c r="O573" s="23"/>
      <c r="P573" s="23"/>
      <c r="Q573" s="23"/>
      <c r="R573" s="23"/>
      <c r="S573" s="23"/>
      <c r="T573" s="23"/>
      <c r="U573" s="96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ht="15.7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96"/>
      <c r="M574" s="23"/>
      <c r="N574" s="23"/>
      <c r="O574" s="23"/>
      <c r="P574" s="23"/>
      <c r="Q574" s="23"/>
      <c r="R574" s="23"/>
      <c r="S574" s="23"/>
      <c r="T574" s="23"/>
      <c r="U574" s="96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ht="15.7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96"/>
      <c r="M575" s="23"/>
      <c r="N575" s="23"/>
      <c r="O575" s="23"/>
      <c r="P575" s="23"/>
      <c r="Q575" s="23"/>
      <c r="R575" s="23"/>
      <c r="S575" s="23"/>
      <c r="T575" s="23"/>
      <c r="U575" s="96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ht="15.7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96"/>
      <c r="M576" s="23"/>
      <c r="N576" s="23"/>
      <c r="O576" s="23"/>
      <c r="P576" s="23"/>
      <c r="Q576" s="23"/>
      <c r="R576" s="23"/>
      <c r="S576" s="23"/>
      <c r="T576" s="23"/>
      <c r="U576" s="96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ht="15.7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96"/>
      <c r="M577" s="23"/>
      <c r="N577" s="23"/>
      <c r="O577" s="23"/>
      <c r="P577" s="23"/>
      <c r="Q577" s="23"/>
      <c r="R577" s="23"/>
      <c r="S577" s="23"/>
      <c r="T577" s="23"/>
      <c r="U577" s="96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ht="15.7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96"/>
      <c r="M578" s="23"/>
      <c r="N578" s="23"/>
      <c r="O578" s="23"/>
      <c r="P578" s="23"/>
      <c r="Q578" s="23"/>
      <c r="R578" s="23"/>
      <c r="S578" s="23"/>
      <c r="T578" s="23"/>
      <c r="U578" s="96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ht="15.7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96"/>
      <c r="M579" s="23"/>
      <c r="N579" s="23"/>
      <c r="O579" s="23"/>
      <c r="P579" s="23"/>
      <c r="Q579" s="23"/>
      <c r="R579" s="23"/>
      <c r="S579" s="23"/>
      <c r="T579" s="23"/>
      <c r="U579" s="96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ht="15.7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96"/>
      <c r="M580" s="23"/>
      <c r="N580" s="23"/>
      <c r="O580" s="23"/>
      <c r="P580" s="23"/>
      <c r="Q580" s="23"/>
      <c r="R580" s="23"/>
      <c r="S580" s="23"/>
      <c r="T580" s="23"/>
      <c r="U580" s="96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ht="15.7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96"/>
      <c r="M581" s="23"/>
      <c r="N581" s="23"/>
      <c r="O581" s="23"/>
      <c r="P581" s="23"/>
      <c r="Q581" s="23"/>
      <c r="R581" s="23"/>
      <c r="S581" s="23"/>
      <c r="T581" s="23"/>
      <c r="U581" s="96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ht="15.7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96"/>
      <c r="M582" s="23"/>
      <c r="N582" s="23"/>
      <c r="O582" s="23"/>
      <c r="P582" s="23"/>
      <c r="Q582" s="23"/>
      <c r="R582" s="23"/>
      <c r="S582" s="23"/>
      <c r="T582" s="23"/>
      <c r="U582" s="96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ht="15.7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96"/>
      <c r="M583" s="23"/>
      <c r="N583" s="23"/>
      <c r="O583" s="23"/>
      <c r="P583" s="23"/>
      <c r="Q583" s="23"/>
      <c r="R583" s="23"/>
      <c r="S583" s="23"/>
      <c r="T583" s="23"/>
      <c r="U583" s="96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ht="15.7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96"/>
      <c r="M584" s="23"/>
      <c r="N584" s="23"/>
      <c r="O584" s="23"/>
      <c r="P584" s="23"/>
      <c r="Q584" s="23"/>
      <c r="R584" s="23"/>
      <c r="S584" s="23"/>
      <c r="T584" s="23"/>
      <c r="U584" s="96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ht="15.7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96"/>
      <c r="M585" s="23"/>
      <c r="N585" s="23"/>
      <c r="O585" s="23"/>
      <c r="P585" s="23"/>
      <c r="Q585" s="23"/>
      <c r="R585" s="23"/>
      <c r="S585" s="23"/>
      <c r="T585" s="23"/>
      <c r="U585" s="96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ht="15.7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96"/>
      <c r="M586" s="23"/>
      <c r="N586" s="23"/>
      <c r="O586" s="23"/>
      <c r="P586" s="23"/>
      <c r="Q586" s="23"/>
      <c r="R586" s="23"/>
      <c r="S586" s="23"/>
      <c r="T586" s="23"/>
      <c r="U586" s="96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ht="15.7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96"/>
      <c r="M587" s="23"/>
      <c r="N587" s="23"/>
      <c r="O587" s="23"/>
      <c r="P587" s="23"/>
      <c r="Q587" s="23"/>
      <c r="R587" s="23"/>
      <c r="S587" s="23"/>
      <c r="T587" s="23"/>
      <c r="U587" s="96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ht="15.7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96"/>
      <c r="M588" s="23"/>
      <c r="N588" s="23"/>
      <c r="O588" s="23"/>
      <c r="P588" s="23"/>
      <c r="Q588" s="23"/>
      <c r="R588" s="23"/>
      <c r="S588" s="23"/>
      <c r="T588" s="23"/>
      <c r="U588" s="96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ht="15.7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96"/>
      <c r="M589" s="23"/>
      <c r="N589" s="23"/>
      <c r="O589" s="23"/>
      <c r="P589" s="23"/>
      <c r="Q589" s="23"/>
      <c r="R589" s="23"/>
      <c r="S589" s="23"/>
      <c r="T589" s="23"/>
      <c r="U589" s="96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ht="15.7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96"/>
      <c r="M590" s="23"/>
      <c r="N590" s="23"/>
      <c r="O590" s="23"/>
      <c r="P590" s="23"/>
      <c r="Q590" s="23"/>
      <c r="R590" s="23"/>
      <c r="S590" s="23"/>
      <c r="T590" s="23"/>
      <c r="U590" s="96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ht="15.7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96"/>
      <c r="M591" s="23"/>
      <c r="N591" s="23"/>
      <c r="O591" s="23"/>
      <c r="P591" s="23"/>
      <c r="Q591" s="23"/>
      <c r="R591" s="23"/>
      <c r="S591" s="23"/>
      <c r="T591" s="23"/>
      <c r="U591" s="96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ht="15.7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96"/>
      <c r="M592" s="23"/>
      <c r="N592" s="23"/>
      <c r="O592" s="23"/>
      <c r="P592" s="23"/>
      <c r="Q592" s="23"/>
      <c r="R592" s="23"/>
      <c r="S592" s="23"/>
      <c r="T592" s="23"/>
      <c r="U592" s="96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ht="15.7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96"/>
      <c r="M593" s="23"/>
      <c r="N593" s="23"/>
      <c r="O593" s="23"/>
      <c r="P593" s="23"/>
      <c r="Q593" s="23"/>
      <c r="R593" s="23"/>
      <c r="S593" s="23"/>
      <c r="T593" s="23"/>
      <c r="U593" s="96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ht="15.7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96"/>
      <c r="M594" s="23"/>
      <c r="N594" s="23"/>
      <c r="O594" s="23"/>
      <c r="P594" s="23"/>
      <c r="Q594" s="23"/>
      <c r="R594" s="23"/>
      <c r="S594" s="23"/>
      <c r="T594" s="23"/>
      <c r="U594" s="96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ht="15.7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96"/>
      <c r="M595" s="23"/>
      <c r="N595" s="23"/>
      <c r="O595" s="23"/>
      <c r="P595" s="23"/>
      <c r="Q595" s="23"/>
      <c r="R595" s="23"/>
      <c r="S595" s="23"/>
      <c r="T595" s="23"/>
      <c r="U595" s="96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ht="15.7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96"/>
      <c r="M596" s="23"/>
      <c r="N596" s="23"/>
      <c r="O596" s="23"/>
      <c r="P596" s="23"/>
      <c r="Q596" s="23"/>
      <c r="R596" s="23"/>
      <c r="S596" s="23"/>
      <c r="T596" s="23"/>
      <c r="U596" s="96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ht="15.7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96"/>
      <c r="M597" s="23"/>
      <c r="N597" s="23"/>
      <c r="O597" s="23"/>
      <c r="P597" s="23"/>
      <c r="Q597" s="23"/>
      <c r="R597" s="23"/>
      <c r="S597" s="23"/>
      <c r="T597" s="23"/>
      <c r="U597" s="96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ht="15.7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96"/>
      <c r="M598" s="23"/>
      <c r="N598" s="23"/>
      <c r="O598" s="23"/>
      <c r="P598" s="23"/>
      <c r="Q598" s="23"/>
      <c r="R598" s="23"/>
      <c r="S598" s="23"/>
      <c r="T598" s="23"/>
      <c r="U598" s="96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ht="15.7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96"/>
      <c r="M599" s="23"/>
      <c r="N599" s="23"/>
      <c r="O599" s="23"/>
      <c r="P599" s="23"/>
      <c r="Q599" s="23"/>
      <c r="R599" s="23"/>
      <c r="S599" s="23"/>
      <c r="T599" s="23"/>
      <c r="U599" s="96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ht="15.7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96"/>
      <c r="M600" s="23"/>
      <c r="N600" s="23"/>
      <c r="O600" s="23"/>
      <c r="P600" s="23"/>
      <c r="Q600" s="23"/>
      <c r="R600" s="23"/>
      <c r="S600" s="23"/>
      <c r="T600" s="23"/>
      <c r="U600" s="96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ht="15.7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96"/>
      <c r="M601" s="23"/>
      <c r="N601" s="23"/>
      <c r="O601" s="23"/>
      <c r="P601" s="23"/>
      <c r="Q601" s="23"/>
      <c r="R601" s="23"/>
      <c r="S601" s="23"/>
      <c r="T601" s="23"/>
      <c r="U601" s="96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ht="15.7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96"/>
      <c r="M602" s="23"/>
      <c r="N602" s="23"/>
      <c r="O602" s="23"/>
      <c r="P602" s="23"/>
      <c r="Q602" s="23"/>
      <c r="R602" s="23"/>
      <c r="S602" s="23"/>
      <c r="T602" s="23"/>
      <c r="U602" s="96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ht="15.7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96"/>
      <c r="M603" s="23"/>
      <c r="N603" s="23"/>
      <c r="O603" s="23"/>
      <c r="P603" s="23"/>
      <c r="Q603" s="23"/>
      <c r="R603" s="23"/>
      <c r="S603" s="23"/>
      <c r="T603" s="23"/>
      <c r="U603" s="96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ht="15.7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96"/>
      <c r="M604" s="23"/>
      <c r="N604" s="23"/>
      <c r="O604" s="23"/>
      <c r="P604" s="23"/>
      <c r="Q604" s="23"/>
      <c r="R604" s="23"/>
      <c r="S604" s="23"/>
      <c r="T604" s="23"/>
      <c r="U604" s="96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ht="15.7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96"/>
      <c r="M605" s="23"/>
      <c r="N605" s="23"/>
      <c r="O605" s="23"/>
      <c r="P605" s="23"/>
      <c r="Q605" s="23"/>
      <c r="R605" s="23"/>
      <c r="S605" s="23"/>
      <c r="T605" s="23"/>
      <c r="U605" s="96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ht="15.7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96"/>
      <c r="M606" s="23"/>
      <c r="N606" s="23"/>
      <c r="O606" s="23"/>
      <c r="P606" s="23"/>
      <c r="Q606" s="23"/>
      <c r="R606" s="23"/>
      <c r="S606" s="23"/>
      <c r="T606" s="23"/>
      <c r="U606" s="96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ht="15.7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96"/>
      <c r="M607" s="23"/>
      <c r="N607" s="23"/>
      <c r="O607" s="23"/>
      <c r="P607" s="23"/>
      <c r="Q607" s="23"/>
      <c r="R607" s="23"/>
      <c r="S607" s="23"/>
      <c r="T607" s="23"/>
      <c r="U607" s="96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ht="15.7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96"/>
      <c r="M608" s="23"/>
      <c r="N608" s="23"/>
      <c r="O608" s="23"/>
      <c r="P608" s="23"/>
      <c r="Q608" s="23"/>
      <c r="R608" s="23"/>
      <c r="S608" s="23"/>
      <c r="T608" s="23"/>
      <c r="U608" s="96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ht="15.7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96"/>
      <c r="M609" s="23"/>
      <c r="N609" s="23"/>
      <c r="O609" s="23"/>
      <c r="P609" s="23"/>
      <c r="Q609" s="23"/>
      <c r="R609" s="23"/>
      <c r="S609" s="23"/>
      <c r="T609" s="23"/>
      <c r="U609" s="96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ht="15.7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96"/>
      <c r="M610" s="23"/>
      <c r="N610" s="23"/>
      <c r="O610" s="23"/>
      <c r="P610" s="23"/>
      <c r="Q610" s="23"/>
      <c r="R610" s="23"/>
      <c r="S610" s="23"/>
      <c r="T610" s="23"/>
      <c r="U610" s="96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ht="15.7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96"/>
      <c r="M611" s="23"/>
      <c r="N611" s="23"/>
      <c r="O611" s="23"/>
      <c r="P611" s="23"/>
      <c r="Q611" s="23"/>
      <c r="R611" s="23"/>
      <c r="S611" s="23"/>
      <c r="T611" s="23"/>
      <c r="U611" s="96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ht="15.7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96"/>
      <c r="M612" s="23"/>
      <c r="N612" s="23"/>
      <c r="O612" s="23"/>
      <c r="P612" s="23"/>
      <c r="Q612" s="23"/>
      <c r="R612" s="23"/>
      <c r="S612" s="23"/>
      <c r="T612" s="23"/>
      <c r="U612" s="96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ht="15.7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96"/>
      <c r="M613" s="23"/>
      <c r="N613" s="23"/>
      <c r="O613" s="23"/>
      <c r="P613" s="23"/>
      <c r="Q613" s="23"/>
      <c r="R613" s="23"/>
      <c r="S613" s="23"/>
      <c r="T613" s="23"/>
      <c r="U613" s="96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ht="15.7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96"/>
      <c r="M614" s="23"/>
      <c r="N614" s="23"/>
      <c r="O614" s="23"/>
      <c r="P614" s="23"/>
      <c r="Q614" s="23"/>
      <c r="R614" s="23"/>
      <c r="S614" s="23"/>
      <c r="T614" s="23"/>
      <c r="U614" s="96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ht="15.7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96"/>
      <c r="M615" s="23"/>
      <c r="N615" s="23"/>
      <c r="O615" s="23"/>
      <c r="P615" s="23"/>
      <c r="Q615" s="23"/>
      <c r="R615" s="23"/>
      <c r="S615" s="23"/>
      <c r="T615" s="23"/>
      <c r="U615" s="96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ht="15.7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96"/>
      <c r="M616" s="23"/>
      <c r="N616" s="23"/>
      <c r="O616" s="23"/>
      <c r="P616" s="23"/>
      <c r="Q616" s="23"/>
      <c r="R616" s="23"/>
      <c r="S616" s="23"/>
      <c r="T616" s="23"/>
      <c r="U616" s="96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ht="15.7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96"/>
      <c r="M617" s="23"/>
      <c r="N617" s="23"/>
      <c r="O617" s="23"/>
      <c r="P617" s="23"/>
      <c r="Q617" s="23"/>
      <c r="R617" s="23"/>
      <c r="S617" s="23"/>
      <c r="T617" s="23"/>
      <c r="U617" s="96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ht="15.7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96"/>
      <c r="M618" s="23"/>
      <c r="N618" s="23"/>
      <c r="O618" s="23"/>
      <c r="P618" s="23"/>
      <c r="Q618" s="23"/>
      <c r="R618" s="23"/>
      <c r="S618" s="23"/>
      <c r="T618" s="23"/>
      <c r="U618" s="96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ht="15.7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96"/>
      <c r="M619" s="23"/>
      <c r="N619" s="23"/>
      <c r="O619" s="23"/>
      <c r="P619" s="23"/>
      <c r="Q619" s="23"/>
      <c r="R619" s="23"/>
      <c r="S619" s="23"/>
      <c r="T619" s="23"/>
      <c r="U619" s="96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ht="15.7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96"/>
      <c r="M620" s="23"/>
      <c r="N620" s="23"/>
      <c r="O620" s="23"/>
      <c r="P620" s="23"/>
      <c r="Q620" s="23"/>
      <c r="R620" s="23"/>
      <c r="S620" s="23"/>
      <c r="T620" s="23"/>
      <c r="U620" s="96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ht="15.7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96"/>
      <c r="M621" s="23"/>
      <c r="N621" s="23"/>
      <c r="O621" s="23"/>
      <c r="P621" s="23"/>
      <c r="Q621" s="23"/>
      <c r="R621" s="23"/>
      <c r="S621" s="23"/>
      <c r="T621" s="23"/>
      <c r="U621" s="96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ht="15.7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96"/>
      <c r="M622" s="23"/>
      <c r="N622" s="23"/>
      <c r="O622" s="23"/>
      <c r="P622" s="23"/>
      <c r="Q622" s="23"/>
      <c r="R622" s="23"/>
      <c r="S622" s="23"/>
      <c r="T622" s="23"/>
      <c r="U622" s="96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ht="15.7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96"/>
      <c r="M623" s="23"/>
      <c r="N623" s="23"/>
      <c r="O623" s="23"/>
      <c r="P623" s="23"/>
      <c r="Q623" s="23"/>
      <c r="R623" s="23"/>
      <c r="S623" s="23"/>
      <c r="T623" s="23"/>
      <c r="U623" s="96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ht="15.7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96"/>
      <c r="M624" s="23"/>
      <c r="N624" s="23"/>
      <c r="O624" s="23"/>
      <c r="P624" s="23"/>
      <c r="Q624" s="23"/>
      <c r="R624" s="23"/>
      <c r="S624" s="23"/>
      <c r="T624" s="23"/>
      <c r="U624" s="96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ht="15.7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96"/>
      <c r="M625" s="23"/>
      <c r="N625" s="23"/>
      <c r="O625" s="23"/>
      <c r="P625" s="23"/>
      <c r="Q625" s="23"/>
      <c r="R625" s="23"/>
      <c r="S625" s="23"/>
      <c r="T625" s="23"/>
      <c r="U625" s="96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ht="15.7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96"/>
      <c r="M626" s="23"/>
      <c r="N626" s="23"/>
      <c r="O626" s="23"/>
      <c r="P626" s="23"/>
      <c r="Q626" s="23"/>
      <c r="R626" s="23"/>
      <c r="S626" s="23"/>
      <c r="T626" s="23"/>
      <c r="U626" s="96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ht="15.7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96"/>
      <c r="M627" s="23"/>
      <c r="N627" s="23"/>
      <c r="O627" s="23"/>
      <c r="P627" s="23"/>
      <c r="Q627" s="23"/>
      <c r="R627" s="23"/>
      <c r="S627" s="23"/>
      <c r="T627" s="23"/>
      <c r="U627" s="96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ht="15.7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96"/>
      <c r="M628" s="23"/>
      <c r="N628" s="23"/>
      <c r="O628" s="23"/>
      <c r="P628" s="23"/>
      <c r="Q628" s="23"/>
      <c r="R628" s="23"/>
      <c r="S628" s="23"/>
      <c r="T628" s="23"/>
      <c r="U628" s="96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ht="15.7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96"/>
      <c r="M629" s="23"/>
      <c r="N629" s="23"/>
      <c r="O629" s="23"/>
      <c r="P629" s="23"/>
      <c r="Q629" s="23"/>
      <c r="R629" s="23"/>
      <c r="S629" s="23"/>
      <c r="T629" s="23"/>
      <c r="U629" s="96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ht="15.7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96"/>
      <c r="M630" s="23"/>
      <c r="N630" s="23"/>
      <c r="O630" s="23"/>
      <c r="P630" s="23"/>
      <c r="Q630" s="23"/>
      <c r="R630" s="23"/>
      <c r="S630" s="23"/>
      <c r="T630" s="23"/>
      <c r="U630" s="96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ht="15.7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96"/>
      <c r="M631" s="23"/>
      <c r="N631" s="23"/>
      <c r="O631" s="23"/>
      <c r="P631" s="23"/>
      <c r="Q631" s="23"/>
      <c r="R631" s="23"/>
      <c r="S631" s="23"/>
      <c r="T631" s="23"/>
      <c r="U631" s="96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ht="15.7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96"/>
      <c r="M632" s="23"/>
      <c r="N632" s="23"/>
      <c r="O632" s="23"/>
      <c r="P632" s="23"/>
      <c r="Q632" s="23"/>
      <c r="R632" s="23"/>
      <c r="S632" s="23"/>
      <c r="T632" s="23"/>
      <c r="U632" s="96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ht="15.7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96"/>
      <c r="M633" s="23"/>
      <c r="N633" s="23"/>
      <c r="O633" s="23"/>
      <c r="P633" s="23"/>
      <c r="Q633" s="23"/>
      <c r="R633" s="23"/>
      <c r="S633" s="23"/>
      <c r="T633" s="23"/>
      <c r="U633" s="96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ht="15.7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96"/>
      <c r="M634" s="23"/>
      <c r="N634" s="23"/>
      <c r="O634" s="23"/>
      <c r="P634" s="23"/>
      <c r="Q634" s="23"/>
      <c r="R634" s="23"/>
      <c r="S634" s="23"/>
      <c r="T634" s="23"/>
      <c r="U634" s="96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ht="15.7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96"/>
      <c r="M635" s="23"/>
      <c r="N635" s="23"/>
      <c r="O635" s="23"/>
      <c r="P635" s="23"/>
      <c r="Q635" s="23"/>
      <c r="R635" s="23"/>
      <c r="S635" s="23"/>
      <c r="T635" s="23"/>
      <c r="U635" s="96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ht="15.7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96"/>
      <c r="M636" s="23"/>
      <c r="N636" s="23"/>
      <c r="O636" s="23"/>
      <c r="P636" s="23"/>
      <c r="Q636" s="23"/>
      <c r="R636" s="23"/>
      <c r="S636" s="23"/>
      <c r="T636" s="23"/>
      <c r="U636" s="96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ht="15.7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96"/>
      <c r="M637" s="23"/>
      <c r="N637" s="23"/>
      <c r="O637" s="23"/>
      <c r="P637" s="23"/>
      <c r="Q637" s="23"/>
      <c r="R637" s="23"/>
      <c r="S637" s="23"/>
      <c r="T637" s="23"/>
      <c r="U637" s="96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ht="15.7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96"/>
      <c r="M638" s="23"/>
      <c r="N638" s="23"/>
      <c r="O638" s="23"/>
      <c r="P638" s="23"/>
      <c r="Q638" s="23"/>
      <c r="R638" s="23"/>
      <c r="S638" s="23"/>
      <c r="T638" s="23"/>
      <c r="U638" s="96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ht="15.7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96"/>
      <c r="M639" s="23"/>
      <c r="N639" s="23"/>
      <c r="O639" s="23"/>
      <c r="P639" s="23"/>
      <c r="Q639" s="23"/>
      <c r="R639" s="23"/>
      <c r="S639" s="23"/>
      <c r="T639" s="23"/>
      <c r="U639" s="96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ht="15.7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96"/>
      <c r="M640" s="23"/>
      <c r="N640" s="23"/>
      <c r="O640" s="23"/>
      <c r="P640" s="23"/>
      <c r="Q640" s="23"/>
      <c r="R640" s="23"/>
      <c r="S640" s="23"/>
      <c r="T640" s="23"/>
      <c r="U640" s="96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ht="15.7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96"/>
      <c r="M641" s="23"/>
      <c r="N641" s="23"/>
      <c r="O641" s="23"/>
      <c r="P641" s="23"/>
      <c r="Q641" s="23"/>
      <c r="R641" s="23"/>
      <c r="S641" s="23"/>
      <c r="T641" s="23"/>
      <c r="U641" s="96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ht="15.7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96"/>
      <c r="M642" s="23"/>
      <c r="N642" s="23"/>
      <c r="O642" s="23"/>
      <c r="P642" s="23"/>
      <c r="Q642" s="23"/>
      <c r="R642" s="23"/>
      <c r="S642" s="23"/>
      <c r="T642" s="23"/>
      <c r="U642" s="96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ht="15.7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96"/>
      <c r="M643" s="23"/>
      <c r="N643" s="23"/>
      <c r="O643" s="23"/>
      <c r="P643" s="23"/>
      <c r="Q643" s="23"/>
      <c r="R643" s="23"/>
      <c r="S643" s="23"/>
      <c r="T643" s="23"/>
      <c r="U643" s="96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ht="15.7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96"/>
      <c r="M644" s="23"/>
      <c r="N644" s="23"/>
      <c r="O644" s="23"/>
      <c r="P644" s="23"/>
      <c r="Q644" s="23"/>
      <c r="R644" s="23"/>
      <c r="S644" s="23"/>
      <c r="T644" s="23"/>
      <c r="U644" s="96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ht="15.7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96"/>
      <c r="M645" s="23"/>
      <c r="N645" s="23"/>
      <c r="O645" s="23"/>
      <c r="P645" s="23"/>
      <c r="Q645" s="23"/>
      <c r="R645" s="23"/>
      <c r="S645" s="23"/>
      <c r="T645" s="23"/>
      <c r="U645" s="96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ht="15.7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96"/>
      <c r="M646" s="23"/>
      <c r="N646" s="23"/>
      <c r="O646" s="23"/>
      <c r="P646" s="23"/>
      <c r="Q646" s="23"/>
      <c r="R646" s="23"/>
      <c r="S646" s="23"/>
      <c r="T646" s="23"/>
      <c r="U646" s="96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ht="15.7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96"/>
      <c r="M647" s="23"/>
      <c r="N647" s="23"/>
      <c r="O647" s="23"/>
      <c r="P647" s="23"/>
      <c r="Q647" s="23"/>
      <c r="R647" s="23"/>
      <c r="S647" s="23"/>
      <c r="T647" s="23"/>
      <c r="U647" s="96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ht="15.7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96"/>
      <c r="M648" s="23"/>
      <c r="N648" s="23"/>
      <c r="O648" s="23"/>
      <c r="P648" s="23"/>
      <c r="Q648" s="23"/>
      <c r="R648" s="23"/>
      <c r="S648" s="23"/>
      <c r="T648" s="23"/>
      <c r="U648" s="96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ht="15.7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96"/>
      <c r="M649" s="23"/>
      <c r="N649" s="23"/>
      <c r="O649" s="23"/>
      <c r="P649" s="23"/>
      <c r="Q649" s="23"/>
      <c r="R649" s="23"/>
      <c r="S649" s="23"/>
      <c r="T649" s="23"/>
      <c r="U649" s="96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ht="15.7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96"/>
      <c r="M650" s="23"/>
      <c r="N650" s="23"/>
      <c r="O650" s="23"/>
      <c r="P650" s="23"/>
      <c r="Q650" s="23"/>
      <c r="R650" s="23"/>
      <c r="S650" s="23"/>
      <c r="T650" s="23"/>
      <c r="U650" s="96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ht="15.7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96"/>
      <c r="M651" s="23"/>
      <c r="N651" s="23"/>
      <c r="O651" s="23"/>
      <c r="P651" s="23"/>
      <c r="Q651" s="23"/>
      <c r="R651" s="23"/>
      <c r="S651" s="23"/>
      <c r="T651" s="23"/>
      <c r="U651" s="96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ht="15.7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96"/>
      <c r="M652" s="23"/>
      <c r="N652" s="23"/>
      <c r="O652" s="23"/>
      <c r="P652" s="23"/>
      <c r="Q652" s="23"/>
      <c r="R652" s="23"/>
      <c r="S652" s="23"/>
      <c r="T652" s="23"/>
      <c r="U652" s="96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ht="15.7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96"/>
      <c r="M653" s="23"/>
      <c r="N653" s="23"/>
      <c r="O653" s="23"/>
      <c r="P653" s="23"/>
      <c r="Q653" s="23"/>
      <c r="R653" s="23"/>
      <c r="S653" s="23"/>
      <c r="T653" s="23"/>
      <c r="U653" s="96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ht="15.7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96"/>
      <c r="M654" s="23"/>
      <c r="N654" s="23"/>
      <c r="O654" s="23"/>
      <c r="P654" s="23"/>
      <c r="Q654" s="23"/>
      <c r="R654" s="23"/>
      <c r="S654" s="23"/>
      <c r="T654" s="23"/>
      <c r="U654" s="96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ht="15.7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96"/>
      <c r="M655" s="23"/>
      <c r="N655" s="23"/>
      <c r="O655" s="23"/>
      <c r="P655" s="23"/>
      <c r="Q655" s="23"/>
      <c r="R655" s="23"/>
      <c r="S655" s="23"/>
      <c r="T655" s="23"/>
      <c r="U655" s="96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ht="15.7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96"/>
      <c r="M656" s="23"/>
      <c r="N656" s="23"/>
      <c r="O656" s="23"/>
      <c r="P656" s="23"/>
      <c r="Q656" s="23"/>
      <c r="R656" s="23"/>
      <c r="S656" s="23"/>
      <c r="T656" s="23"/>
      <c r="U656" s="96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ht="15.7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96"/>
      <c r="M657" s="23"/>
      <c r="N657" s="23"/>
      <c r="O657" s="23"/>
      <c r="P657" s="23"/>
      <c r="Q657" s="23"/>
      <c r="R657" s="23"/>
      <c r="S657" s="23"/>
      <c r="T657" s="23"/>
      <c r="U657" s="96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ht="15.7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96"/>
      <c r="M658" s="23"/>
      <c r="N658" s="23"/>
      <c r="O658" s="23"/>
      <c r="P658" s="23"/>
      <c r="Q658" s="23"/>
      <c r="R658" s="23"/>
      <c r="S658" s="23"/>
      <c r="T658" s="23"/>
      <c r="U658" s="96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ht="15.7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96"/>
      <c r="M659" s="23"/>
      <c r="N659" s="23"/>
      <c r="O659" s="23"/>
      <c r="P659" s="23"/>
      <c r="Q659" s="23"/>
      <c r="R659" s="23"/>
      <c r="S659" s="23"/>
      <c r="T659" s="23"/>
      <c r="U659" s="96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ht="15.7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96"/>
      <c r="M660" s="23"/>
      <c r="N660" s="23"/>
      <c r="O660" s="23"/>
      <c r="P660" s="23"/>
      <c r="Q660" s="23"/>
      <c r="R660" s="23"/>
      <c r="S660" s="23"/>
      <c r="T660" s="23"/>
      <c r="U660" s="96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ht="15.7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96"/>
      <c r="M661" s="23"/>
      <c r="N661" s="23"/>
      <c r="O661" s="23"/>
      <c r="P661" s="23"/>
      <c r="Q661" s="23"/>
      <c r="R661" s="23"/>
      <c r="S661" s="23"/>
      <c r="T661" s="23"/>
      <c r="U661" s="96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ht="15.7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96"/>
      <c r="M662" s="23"/>
      <c r="N662" s="23"/>
      <c r="O662" s="23"/>
      <c r="P662" s="23"/>
      <c r="Q662" s="23"/>
      <c r="R662" s="23"/>
      <c r="S662" s="23"/>
      <c r="T662" s="23"/>
      <c r="U662" s="96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96"/>
      <c r="M663" s="23"/>
      <c r="N663" s="23"/>
      <c r="O663" s="23"/>
      <c r="P663" s="23"/>
      <c r="Q663" s="23"/>
      <c r="R663" s="23"/>
      <c r="S663" s="23"/>
      <c r="T663" s="23"/>
      <c r="U663" s="96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ht="15.7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96"/>
      <c r="M664" s="23"/>
      <c r="N664" s="23"/>
      <c r="O664" s="23"/>
      <c r="P664" s="23"/>
      <c r="Q664" s="23"/>
      <c r="R664" s="23"/>
      <c r="S664" s="23"/>
      <c r="T664" s="23"/>
      <c r="U664" s="96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ht="15.7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96"/>
      <c r="M665" s="23"/>
      <c r="N665" s="23"/>
      <c r="O665" s="23"/>
      <c r="P665" s="23"/>
      <c r="Q665" s="23"/>
      <c r="R665" s="23"/>
      <c r="S665" s="23"/>
      <c r="T665" s="23"/>
      <c r="U665" s="96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96"/>
      <c r="M666" s="23"/>
      <c r="N666" s="23"/>
      <c r="O666" s="23"/>
      <c r="P666" s="23"/>
      <c r="Q666" s="23"/>
      <c r="R666" s="23"/>
      <c r="S666" s="23"/>
      <c r="T666" s="23"/>
      <c r="U666" s="96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ht="15.7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96"/>
      <c r="M667" s="23"/>
      <c r="N667" s="23"/>
      <c r="O667" s="23"/>
      <c r="P667" s="23"/>
      <c r="Q667" s="23"/>
      <c r="R667" s="23"/>
      <c r="S667" s="23"/>
      <c r="T667" s="23"/>
      <c r="U667" s="96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ht="15.7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96"/>
      <c r="M668" s="23"/>
      <c r="N668" s="23"/>
      <c r="O668" s="23"/>
      <c r="P668" s="23"/>
      <c r="Q668" s="23"/>
      <c r="R668" s="23"/>
      <c r="S668" s="23"/>
      <c r="T668" s="23"/>
      <c r="U668" s="96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ht="15.7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96"/>
      <c r="M669" s="23"/>
      <c r="N669" s="23"/>
      <c r="O669" s="23"/>
      <c r="P669" s="23"/>
      <c r="Q669" s="23"/>
      <c r="R669" s="23"/>
      <c r="S669" s="23"/>
      <c r="T669" s="23"/>
      <c r="U669" s="96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ht="15.7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96"/>
      <c r="M670" s="23"/>
      <c r="N670" s="23"/>
      <c r="O670" s="23"/>
      <c r="P670" s="23"/>
      <c r="Q670" s="23"/>
      <c r="R670" s="23"/>
      <c r="S670" s="23"/>
      <c r="T670" s="23"/>
      <c r="U670" s="96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ht="15.7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96"/>
      <c r="M671" s="23"/>
      <c r="N671" s="23"/>
      <c r="O671" s="23"/>
      <c r="P671" s="23"/>
      <c r="Q671" s="23"/>
      <c r="R671" s="23"/>
      <c r="S671" s="23"/>
      <c r="T671" s="23"/>
      <c r="U671" s="96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ht="15.7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96"/>
      <c r="M672" s="23"/>
      <c r="N672" s="23"/>
      <c r="O672" s="23"/>
      <c r="P672" s="23"/>
      <c r="Q672" s="23"/>
      <c r="R672" s="23"/>
      <c r="S672" s="23"/>
      <c r="T672" s="23"/>
      <c r="U672" s="96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ht="15.7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96"/>
      <c r="M673" s="23"/>
      <c r="N673" s="23"/>
      <c r="O673" s="23"/>
      <c r="P673" s="23"/>
      <c r="Q673" s="23"/>
      <c r="R673" s="23"/>
      <c r="S673" s="23"/>
      <c r="T673" s="23"/>
      <c r="U673" s="96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ht="15.7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96"/>
      <c r="M674" s="23"/>
      <c r="N674" s="23"/>
      <c r="O674" s="23"/>
      <c r="P674" s="23"/>
      <c r="Q674" s="23"/>
      <c r="R674" s="23"/>
      <c r="S674" s="23"/>
      <c r="T674" s="23"/>
      <c r="U674" s="96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ht="15.7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96"/>
      <c r="M675" s="23"/>
      <c r="N675" s="23"/>
      <c r="O675" s="23"/>
      <c r="P675" s="23"/>
      <c r="Q675" s="23"/>
      <c r="R675" s="23"/>
      <c r="S675" s="23"/>
      <c r="T675" s="23"/>
      <c r="U675" s="96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ht="15.7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96"/>
      <c r="M676" s="23"/>
      <c r="N676" s="23"/>
      <c r="O676" s="23"/>
      <c r="P676" s="23"/>
      <c r="Q676" s="23"/>
      <c r="R676" s="23"/>
      <c r="S676" s="23"/>
      <c r="T676" s="23"/>
      <c r="U676" s="96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ht="15.7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96"/>
      <c r="M677" s="23"/>
      <c r="N677" s="23"/>
      <c r="O677" s="23"/>
      <c r="P677" s="23"/>
      <c r="Q677" s="23"/>
      <c r="R677" s="23"/>
      <c r="S677" s="23"/>
      <c r="T677" s="23"/>
      <c r="U677" s="96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ht="15.7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96"/>
      <c r="M678" s="23"/>
      <c r="N678" s="23"/>
      <c r="O678" s="23"/>
      <c r="P678" s="23"/>
      <c r="Q678" s="23"/>
      <c r="R678" s="23"/>
      <c r="S678" s="23"/>
      <c r="T678" s="23"/>
      <c r="U678" s="96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ht="15.7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96"/>
      <c r="M679" s="23"/>
      <c r="N679" s="23"/>
      <c r="O679" s="23"/>
      <c r="P679" s="23"/>
      <c r="Q679" s="23"/>
      <c r="R679" s="23"/>
      <c r="S679" s="23"/>
      <c r="T679" s="23"/>
      <c r="U679" s="96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ht="15.7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96"/>
      <c r="M680" s="23"/>
      <c r="N680" s="23"/>
      <c r="O680" s="23"/>
      <c r="P680" s="23"/>
      <c r="Q680" s="23"/>
      <c r="R680" s="23"/>
      <c r="S680" s="23"/>
      <c r="T680" s="23"/>
      <c r="U680" s="96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ht="15.7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96"/>
      <c r="M681" s="23"/>
      <c r="N681" s="23"/>
      <c r="O681" s="23"/>
      <c r="P681" s="23"/>
      <c r="Q681" s="23"/>
      <c r="R681" s="23"/>
      <c r="S681" s="23"/>
      <c r="T681" s="23"/>
      <c r="U681" s="96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ht="15.7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96"/>
      <c r="M682" s="23"/>
      <c r="N682" s="23"/>
      <c r="O682" s="23"/>
      <c r="P682" s="23"/>
      <c r="Q682" s="23"/>
      <c r="R682" s="23"/>
      <c r="S682" s="23"/>
      <c r="T682" s="23"/>
      <c r="U682" s="96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ht="15.7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96"/>
      <c r="M683" s="23"/>
      <c r="N683" s="23"/>
      <c r="O683" s="23"/>
      <c r="P683" s="23"/>
      <c r="Q683" s="23"/>
      <c r="R683" s="23"/>
      <c r="S683" s="23"/>
      <c r="T683" s="23"/>
      <c r="U683" s="96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ht="15.7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96"/>
      <c r="M684" s="23"/>
      <c r="N684" s="23"/>
      <c r="O684" s="23"/>
      <c r="P684" s="23"/>
      <c r="Q684" s="23"/>
      <c r="R684" s="23"/>
      <c r="S684" s="23"/>
      <c r="T684" s="23"/>
      <c r="U684" s="96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ht="15.7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96"/>
      <c r="M685" s="23"/>
      <c r="N685" s="23"/>
      <c r="O685" s="23"/>
      <c r="P685" s="23"/>
      <c r="Q685" s="23"/>
      <c r="R685" s="23"/>
      <c r="S685" s="23"/>
      <c r="T685" s="23"/>
      <c r="U685" s="96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ht="15.7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96"/>
      <c r="M686" s="23"/>
      <c r="N686" s="23"/>
      <c r="O686" s="23"/>
      <c r="P686" s="23"/>
      <c r="Q686" s="23"/>
      <c r="R686" s="23"/>
      <c r="S686" s="23"/>
      <c r="T686" s="23"/>
      <c r="U686" s="96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ht="15.7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96"/>
      <c r="M687" s="23"/>
      <c r="N687" s="23"/>
      <c r="O687" s="23"/>
      <c r="P687" s="23"/>
      <c r="Q687" s="23"/>
      <c r="R687" s="23"/>
      <c r="S687" s="23"/>
      <c r="T687" s="23"/>
      <c r="U687" s="96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ht="15.7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96"/>
      <c r="M688" s="23"/>
      <c r="N688" s="23"/>
      <c r="O688" s="23"/>
      <c r="P688" s="23"/>
      <c r="Q688" s="23"/>
      <c r="R688" s="23"/>
      <c r="S688" s="23"/>
      <c r="T688" s="23"/>
      <c r="U688" s="96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ht="15.7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96"/>
      <c r="M689" s="23"/>
      <c r="N689" s="23"/>
      <c r="O689" s="23"/>
      <c r="P689" s="23"/>
      <c r="Q689" s="23"/>
      <c r="R689" s="23"/>
      <c r="S689" s="23"/>
      <c r="T689" s="23"/>
      <c r="U689" s="96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ht="15.7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96"/>
      <c r="M690" s="23"/>
      <c r="N690" s="23"/>
      <c r="O690" s="23"/>
      <c r="P690" s="23"/>
      <c r="Q690" s="23"/>
      <c r="R690" s="23"/>
      <c r="S690" s="23"/>
      <c r="T690" s="23"/>
      <c r="U690" s="96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ht="15.7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96"/>
      <c r="M691" s="23"/>
      <c r="N691" s="23"/>
      <c r="O691" s="23"/>
      <c r="P691" s="23"/>
      <c r="Q691" s="23"/>
      <c r="R691" s="23"/>
      <c r="S691" s="23"/>
      <c r="T691" s="23"/>
      <c r="U691" s="96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ht="15.7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96"/>
      <c r="M692" s="23"/>
      <c r="N692" s="23"/>
      <c r="O692" s="23"/>
      <c r="P692" s="23"/>
      <c r="Q692" s="23"/>
      <c r="R692" s="23"/>
      <c r="S692" s="23"/>
      <c r="T692" s="23"/>
      <c r="U692" s="96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ht="15.7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96"/>
      <c r="M693" s="23"/>
      <c r="N693" s="23"/>
      <c r="O693" s="23"/>
      <c r="P693" s="23"/>
      <c r="Q693" s="23"/>
      <c r="R693" s="23"/>
      <c r="S693" s="23"/>
      <c r="T693" s="23"/>
      <c r="U693" s="96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ht="15.7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96"/>
      <c r="M694" s="23"/>
      <c r="N694" s="23"/>
      <c r="O694" s="23"/>
      <c r="P694" s="23"/>
      <c r="Q694" s="23"/>
      <c r="R694" s="23"/>
      <c r="S694" s="23"/>
      <c r="T694" s="23"/>
      <c r="U694" s="96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ht="15.7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96"/>
      <c r="M695" s="23"/>
      <c r="N695" s="23"/>
      <c r="O695" s="23"/>
      <c r="P695" s="23"/>
      <c r="Q695" s="23"/>
      <c r="R695" s="23"/>
      <c r="S695" s="23"/>
      <c r="T695" s="23"/>
      <c r="U695" s="96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ht="15.7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96"/>
      <c r="M696" s="23"/>
      <c r="N696" s="23"/>
      <c r="O696" s="23"/>
      <c r="P696" s="23"/>
      <c r="Q696" s="23"/>
      <c r="R696" s="23"/>
      <c r="S696" s="23"/>
      <c r="T696" s="23"/>
      <c r="U696" s="96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ht="15.7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96"/>
      <c r="M697" s="23"/>
      <c r="N697" s="23"/>
      <c r="O697" s="23"/>
      <c r="P697" s="23"/>
      <c r="Q697" s="23"/>
      <c r="R697" s="23"/>
      <c r="S697" s="23"/>
      <c r="T697" s="23"/>
      <c r="U697" s="96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ht="15.7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96"/>
      <c r="M698" s="23"/>
      <c r="N698" s="23"/>
      <c r="O698" s="23"/>
      <c r="P698" s="23"/>
      <c r="Q698" s="23"/>
      <c r="R698" s="23"/>
      <c r="S698" s="23"/>
      <c r="T698" s="23"/>
      <c r="U698" s="96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ht="15.7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96"/>
      <c r="M699" s="23"/>
      <c r="N699" s="23"/>
      <c r="O699" s="23"/>
      <c r="P699" s="23"/>
      <c r="Q699" s="23"/>
      <c r="R699" s="23"/>
      <c r="S699" s="23"/>
      <c r="T699" s="23"/>
      <c r="U699" s="96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ht="15.7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96"/>
      <c r="M700" s="23"/>
      <c r="N700" s="23"/>
      <c r="O700" s="23"/>
      <c r="P700" s="23"/>
      <c r="Q700" s="23"/>
      <c r="R700" s="23"/>
      <c r="S700" s="23"/>
      <c r="T700" s="23"/>
      <c r="U700" s="96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ht="15.7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96"/>
      <c r="M701" s="23"/>
      <c r="N701" s="23"/>
      <c r="O701" s="23"/>
      <c r="P701" s="23"/>
      <c r="Q701" s="23"/>
      <c r="R701" s="23"/>
      <c r="S701" s="23"/>
      <c r="T701" s="23"/>
      <c r="U701" s="96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ht="15.7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96"/>
      <c r="M702" s="23"/>
      <c r="N702" s="23"/>
      <c r="O702" s="23"/>
      <c r="P702" s="23"/>
      <c r="Q702" s="23"/>
      <c r="R702" s="23"/>
      <c r="S702" s="23"/>
      <c r="T702" s="23"/>
      <c r="U702" s="96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ht="15.7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96"/>
      <c r="M703" s="23"/>
      <c r="N703" s="23"/>
      <c r="O703" s="23"/>
      <c r="P703" s="23"/>
      <c r="Q703" s="23"/>
      <c r="R703" s="23"/>
      <c r="S703" s="23"/>
      <c r="T703" s="23"/>
      <c r="U703" s="96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ht="15.7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96"/>
      <c r="M704" s="23"/>
      <c r="N704" s="23"/>
      <c r="O704" s="23"/>
      <c r="P704" s="23"/>
      <c r="Q704" s="23"/>
      <c r="R704" s="23"/>
      <c r="S704" s="23"/>
      <c r="T704" s="23"/>
      <c r="U704" s="96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ht="15.7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96"/>
      <c r="M705" s="23"/>
      <c r="N705" s="23"/>
      <c r="O705" s="23"/>
      <c r="P705" s="23"/>
      <c r="Q705" s="23"/>
      <c r="R705" s="23"/>
      <c r="S705" s="23"/>
      <c r="T705" s="23"/>
      <c r="U705" s="96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ht="15.7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96"/>
      <c r="M706" s="23"/>
      <c r="N706" s="23"/>
      <c r="O706" s="23"/>
      <c r="P706" s="23"/>
      <c r="Q706" s="23"/>
      <c r="R706" s="23"/>
      <c r="S706" s="23"/>
      <c r="T706" s="23"/>
      <c r="U706" s="96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ht="15.7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96"/>
      <c r="M707" s="23"/>
      <c r="N707" s="23"/>
      <c r="O707" s="23"/>
      <c r="P707" s="23"/>
      <c r="Q707" s="23"/>
      <c r="R707" s="23"/>
      <c r="S707" s="23"/>
      <c r="T707" s="23"/>
      <c r="U707" s="96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ht="15.7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96"/>
      <c r="M708" s="23"/>
      <c r="N708" s="23"/>
      <c r="O708" s="23"/>
      <c r="P708" s="23"/>
      <c r="Q708" s="23"/>
      <c r="R708" s="23"/>
      <c r="S708" s="23"/>
      <c r="T708" s="23"/>
      <c r="U708" s="96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ht="15.7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96"/>
      <c r="M709" s="23"/>
      <c r="N709" s="23"/>
      <c r="O709" s="23"/>
      <c r="P709" s="23"/>
      <c r="Q709" s="23"/>
      <c r="R709" s="23"/>
      <c r="S709" s="23"/>
      <c r="T709" s="23"/>
      <c r="U709" s="96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ht="15.7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96"/>
      <c r="M710" s="23"/>
      <c r="N710" s="23"/>
      <c r="O710" s="23"/>
      <c r="P710" s="23"/>
      <c r="Q710" s="23"/>
      <c r="R710" s="23"/>
      <c r="S710" s="23"/>
      <c r="T710" s="23"/>
      <c r="U710" s="96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ht="15.7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96"/>
      <c r="M711" s="23"/>
      <c r="N711" s="23"/>
      <c r="O711" s="23"/>
      <c r="P711" s="23"/>
      <c r="Q711" s="23"/>
      <c r="R711" s="23"/>
      <c r="S711" s="23"/>
      <c r="T711" s="23"/>
      <c r="U711" s="96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ht="15.7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96"/>
      <c r="M712" s="23"/>
      <c r="N712" s="23"/>
      <c r="O712" s="23"/>
      <c r="P712" s="23"/>
      <c r="Q712" s="23"/>
      <c r="R712" s="23"/>
      <c r="S712" s="23"/>
      <c r="T712" s="23"/>
      <c r="U712" s="96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ht="15.7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96"/>
      <c r="M713" s="23"/>
      <c r="N713" s="23"/>
      <c r="O713" s="23"/>
      <c r="P713" s="23"/>
      <c r="Q713" s="23"/>
      <c r="R713" s="23"/>
      <c r="S713" s="23"/>
      <c r="T713" s="23"/>
      <c r="U713" s="96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ht="15.7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96"/>
      <c r="M714" s="23"/>
      <c r="N714" s="23"/>
      <c r="O714" s="23"/>
      <c r="P714" s="23"/>
      <c r="Q714" s="23"/>
      <c r="R714" s="23"/>
      <c r="S714" s="23"/>
      <c r="T714" s="23"/>
      <c r="U714" s="96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ht="15.7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96"/>
      <c r="M715" s="23"/>
      <c r="N715" s="23"/>
      <c r="O715" s="23"/>
      <c r="P715" s="23"/>
      <c r="Q715" s="23"/>
      <c r="R715" s="23"/>
      <c r="S715" s="23"/>
      <c r="T715" s="23"/>
      <c r="U715" s="96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ht="15.7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96"/>
      <c r="M716" s="23"/>
      <c r="N716" s="23"/>
      <c r="O716" s="23"/>
      <c r="P716" s="23"/>
      <c r="Q716" s="23"/>
      <c r="R716" s="23"/>
      <c r="S716" s="23"/>
      <c r="T716" s="23"/>
      <c r="U716" s="96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ht="15.7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96"/>
      <c r="M717" s="23"/>
      <c r="N717" s="23"/>
      <c r="O717" s="23"/>
      <c r="P717" s="23"/>
      <c r="Q717" s="23"/>
      <c r="R717" s="23"/>
      <c r="S717" s="23"/>
      <c r="T717" s="23"/>
      <c r="U717" s="96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ht="15.7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96"/>
      <c r="M718" s="23"/>
      <c r="N718" s="23"/>
      <c r="O718" s="23"/>
      <c r="P718" s="23"/>
      <c r="Q718" s="23"/>
      <c r="R718" s="23"/>
      <c r="S718" s="23"/>
      <c r="T718" s="23"/>
      <c r="U718" s="96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ht="15.7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96"/>
      <c r="M719" s="23"/>
      <c r="N719" s="23"/>
      <c r="O719" s="23"/>
      <c r="P719" s="23"/>
      <c r="Q719" s="23"/>
      <c r="R719" s="23"/>
      <c r="S719" s="23"/>
      <c r="T719" s="23"/>
      <c r="U719" s="96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ht="15.7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96"/>
      <c r="M720" s="23"/>
      <c r="N720" s="23"/>
      <c r="O720" s="23"/>
      <c r="P720" s="23"/>
      <c r="Q720" s="23"/>
      <c r="R720" s="23"/>
      <c r="S720" s="23"/>
      <c r="T720" s="23"/>
      <c r="U720" s="96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ht="15.7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96"/>
      <c r="M721" s="23"/>
      <c r="N721" s="23"/>
      <c r="O721" s="23"/>
      <c r="P721" s="23"/>
      <c r="Q721" s="23"/>
      <c r="R721" s="23"/>
      <c r="S721" s="23"/>
      <c r="T721" s="23"/>
      <c r="U721" s="96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ht="15.7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96"/>
      <c r="M722" s="23"/>
      <c r="N722" s="23"/>
      <c r="O722" s="23"/>
      <c r="P722" s="23"/>
      <c r="Q722" s="23"/>
      <c r="R722" s="23"/>
      <c r="S722" s="23"/>
      <c r="T722" s="23"/>
      <c r="U722" s="96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ht="15.7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96"/>
      <c r="M723" s="23"/>
      <c r="N723" s="23"/>
      <c r="O723" s="23"/>
      <c r="P723" s="23"/>
      <c r="Q723" s="23"/>
      <c r="R723" s="23"/>
      <c r="S723" s="23"/>
      <c r="T723" s="23"/>
      <c r="U723" s="96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ht="15.7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96"/>
      <c r="M724" s="23"/>
      <c r="N724" s="23"/>
      <c r="O724" s="23"/>
      <c r="P724" s="23"/>
      <c r="Q724" s="23"/>
      <c r="R724" s="23"/>
      <c r="S724" s="23"/>
      <c r="T724" s="23"/>
      <c r="U724" s="96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ht="15.7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96"/>
      <c r="M725" s="23"/>
      <c r="N725" s="23"/>
      <c r="O725" s="23"/>
      <c r="P725" s="23"/>
      <c r="Q725" s="23"/>
      <c r="R725" s="23"/>
      <c r="S725" s="23"/>
      <c r="T725" s="23"/>
      <c r="U725" s="96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ht="15.7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96"/>
      <c r="M726" s="23"/>
      <c r="N726" s="23"/>
      <c r="O726" s="23"/>
      <c r="P726" s="23"/>
      <c r="Q726" s="23"/>
      <c r="R726" s="23"/>
      <c r="S726" s="23"/>
      <c r="T726" s="23"/>
      <c r="U726" s="96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ht="15.7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96"/>
      <c r="M727" s="23"/>
      <c r="N727" s="23"/>
      <c r="O727" s="23"/>
      <c r="P727" s="23"/>
      <c r="Q727" s="23"/>
      <c r="R727" s="23"/>
      <c r="S727" s="23"/>
      <c r="T727" s="23"/>
      <c r="U727" s="96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ht="15.7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96"/>
      <c r="M728" s="23"/>
      <c r="N728" s="23"/>
      <c r="O728" s="23"/>
      <c r="P728" s="23"/>
      <c r="Q728" s="23"/>
      <c r="R728" s="23"/>
      <c r="S728" s="23"/>
      <c r="T728" s="23"/>
      <c r="U728" s="96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ht="15.7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96"/>
      <c r="M729" s="23"/>
      <c r="N729" s="23"/>
      <c r="O729" s="23"/>
      <c r="P729" s="23"/>
      <c r="Q729" s="23"/>
      <c r="R729" s="23"/>
      <c r="S729" s="23"/>
      <c r="T729" s="23"/>
      <c r="U729" s="96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ht="15.7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96"/>
      <c r="M730" s="23"/>
      <c r="N730" s="23"/>
      <c r="O730" s="23"/>
      <c r="P730" s="23"/>
      <c r="Q730" s="23"/>
      <c r="R730" s="23"/>
      <c r="S730" s="23"/>
      <c r="T730" s="23"/>
      <c r="U730" s="96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ht="15.7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96"/>
      <c r="M731" s="23"/>
      <c r="N731" s="23"/>
      <c r="O731" s="23"/>
      <c r="P731" s="23"/>
      <c r="Q731" s="23"/>
      <c r="R731" s="23"/>
      <c r="S731" s="23"/>
      <c r="T731" s="23"/>
      <c r="U731" s="96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ht="15.7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96"/>
      <c r="M732" s="23"/>
      <c r="N732" s="23"/>
      <c r="O732" s="23"/>
      <c r="P732" s="23"/>
      <c r="Q732" s="23"/>
      <c r="R732" s="23"/>
      <c r="S732" s="23"/>
      <c r="T732" s="23"/>
      <c r="U732" s="96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ht="15.7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96"/>
      <c r="M733" s="23"/>
      <c r="N733" s="23"/>
      <c r="O733" s="23"/>
      <c r="P733" s="23"/>
      <c r="Q733" s="23"/>
      <c r="R733" s="23"/>
      <c r="S733" s="23"/>
      <c r="T733" s="23"/>
      <c r="U733" s="96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ht="15.7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96"/>
      <c r="M734" s="23"/>
      <c r="N734" s="23"/>
      <c r="O734" s="23"/>
      <c r="P734" s="23"/>
      <c r="Q734" s="23"/>
      <c r="R734" s="23"/>
      <c r="S734" s="23"/>
      <c r="T734" s="23"/>
      <c r="U734" s="96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ht="15.7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96"/>
      <c r="M735" s="23"/>
      <c r="N735" s="23"/>
      <c r="O735" s="23"/>
      <c r="P735" s="23"/>
      <c r="Q735" s="23"/>
      <c r="R735" s="23"/>
      <c r="S735" s="23"/>
      <c r="T735" s="23"/>
      <c r="U735" s="96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ht="15.7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96"/>
      <c r="M736" s="23"/>
      <c r="N736" s="23"/>
      <c r="O736" s="23"/>
      <c r="P736" s="23"/>
      <c r="Q736" s="23"/>
      <c r="R736" s="23"/>
      <c r="S736" s="23"/>
      <c r="T736" s="23"/>
      <c r="U736" s="96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ht="15.7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96"/>
      <c r="M737" s="23"/>
      <c r="N737" s="23"/>
      <c r="O737" s="23"/>
      <c r="P737" s="23"/>
      <c r="Q737" s="23"/>
      <c r="R737" s="23"/>
      <c r="S737" s="23"/>
      <c r="T737" s="23"/>
      <c r="U737" s="96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ht="15.7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96"/>
      <c r="M738" s="23"/>
      <c r="N738" s="23"/>
      <c r="O738" s="23"/>
      <c r="P738" s="23"/>
      <c r="Q738" s="23"/>
      <c r="R738" s="23"/>
      <c r="S738" s="23"/>
      <c r="T738" s="23"/>
      <c r="U738" s="96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ht="15.7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96"/>
      <c r="M739" s="23"/>
      <c r="N739" s="23"/>
      <c r="O739" s="23"/>
      <c r="P739" s="23"/>
      <c r="Q739" s="23"/>
      <c r="R739" s="23"/>
      <c r="S739" s="23"/>
      <c r="T739" s="23"/>
      <c r="U739" s="96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ht="15.7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96"/>
      <c r="M740" s="23"/>
      <c r="N740" s="23"/>
      <c r="O740" s="23"/>
      <c r="P740" s="23"/>
      <c r="Q740" s="23"/>
      <c r="R740" s="23"/>
      <c r="S740" s="23"/>
      <c r="T740" s="23"/>
      <c r="U740" s="96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ht="15.7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96"/>
      <c r="M741" s="23"/>
      <c r="N741" s="23"/>
      <c r="O741" s="23"/>
      <c r="P741" s="23"/>
      <c r="Q741" s="23"/>
      <c r="R741" s="23"/>
      <c r="S741" s="23"/>
      <c r="T741" s="23"/>
      <c r="U741" s="96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ht="15.7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96"/>
      <c r="M742" s="23"/>
      <c r="N742" s="23"/>
      <c r="O742" s="23"/>
      <c r="P742" s="23"/>
      <c r="Q742" s="23"/>
      <c r="R742" s="23"/>
      <c r="S742" s="23"/>
      <c r="T742" s="23"/>
      <c r="U742" s="96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ht="15.7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96"/>
      <c r="M743" s="23"/>
      <c r="N743" s="23"/>
      <c r="O743" s="23"/>
      <c r="P743" s="23"/>
      <c r="Q743" s="23"/>
      <c r="R743" s="23"/>
      <c r="S743" s="23"/>
      <c r="T743" s="23"/>
      <c r="U743" s="96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ht="15.7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96"/>
      <c r="M744" s="23"/>
      <c r="N744" s="23"/>
      <c r="O744" s="23"/>
      <c r="P744" s="23"/>
      <c r="Q744" s="23"/>
      <c r="R744" s="23"/>
      <c r="S744" s="23"/>
      <c r="T744" s="23"/>
      <c r="U744" s="96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ht="15.7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96"/>
      <c r="M745" s="23"/>
      <c r="N745" s="23"/>
      <c r="O745" s="23"/>
      <c r="P745" s="23"/>
      <c r="Q745" s="23"/>
      <c r="R745" s="23"/>
      <c r="S745" s="23"/>
      <c r="T745" s="23"/>
      <c r="U745" s="96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ht="15.7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96"/>
      <c r="M746" s="23"/>
      <c r="N746" s="23"/>
      <c r="O746" s="23"/>
      <c r="P746" s="23"/>
      <c r="Q746" s="23"/>
      <c r="R746" s="23"/>
      <c r="S746" s="23"/>
      <c r="T746" s="23"/>
      <c r="U746" s="96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ht="15.7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96"/>
      <c r="M747" s="23"/>
      <c r="N747" s="23"/>
      <c r="O747" s="23"/>
      <c r="P747" s="23"/>
      <c r="Q747" s="23"/>
      <c r="R747" s="23"/>
      <c r="S747" s="23"/>
      <c r="T747" s="23"/>
      <c r="U747" s="96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ht="15.7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96"/>
      <c r="M748" s="23"/>
      <c r="N748" s="23"/>
      <c r="O748" s="23"/>
      <c r="P748" s="23"/>
      <c r="Q748" s="23"/>
      <c r="R748" s="23"/>
      <c r="S748" s="23"/>
      <c r="T748" s="23"/>
      <c r="U748" s="96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ht="15.7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96"/>
      <c r="M749" s="23"/>
      <c r="N749" s="23"/>
      <c r="O749" s="23"/>
      <c r="P749" s="23"/>
      <c r="Q749" s="23"/>
      <c r="R749" s="23"/>
      <c r="S749" s="23"/>
      <c r="T749" s="23"/>
      <c r="U749" s="96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ht="15.7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96"/>
      <c r="M750" s="23"/>
      <c r="N750" s="23"/>
      <c r="O750" s="23"/>
      <c r="P750" s="23"/>
      <c r="Q750" s="23"/>
      <c r="R750" s="23"/>
      <c r="S750" s="23"/>
      <c r="T750" s="23"/>
      <c r="U750" s="96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ht="15.7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96"/>
      <c r="M751" s="23"/>
      <c r="N751" s="23"/>
      <c r="O751" s="23"/>
      <c r="P751" s="23"/>
      <c r="Q751" s="23"/>
      <c r="R751" s="23"/>
      <c r="S751" s="23"/>
      <c r="T751" s="23"/>
      <c r="U751" s="96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ht="15.7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96"/>
      <c r="M752" s="23"/>
      <c r="N752" s="23"/>
      <c r="O752" s="23"/>
      <c r="P752" s="23"/>
      <c r="Q752" s="23"/>
      <c r="R752" s="23"/>
      <c r="S752" s="23"/>
      <c r="T752" s="23"/>
      <c r="U752" s="96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ht="15.7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96"/>
      <c r="M753" s="23"/>
      <c r="N753" s="23"/>
      <c r="O753" s="23"/>
      <c r="P753" s="23"/>
      <c r="Q753" s="23"/>
      <c r="R753" s="23"/>
      <c r="S753" s="23"/>
      <c r="T753" s="23"/>
      <c r="U753" s="96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ht="15.7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96"/>
      <c r="M754" s="23"/>
      <c r="N754" s="23"/>
      <c r="O754" s="23"/>
      <c r="P754" s="23"/>
      <c r="Q754" s="23"/>
      <c r="R754" s="23"/>
      <c r="S754" s="23"/>
      <c r="T754" s="23"/>
      <c r="U754" s="96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ht="15.7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96"/>
      <c r="M755" s="23"/>
      <c r="N755" s="23"/>
      <c r="O755" s="23"/>
      <c r="P755" s="23"/>
      <c r="Q755" s="23"/>
      <c r="R755" s="23"/>
      <c r="S755" s="23"/>
      <c r="T755" s="23"/>
      <c r="U755" s="96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ht="15.7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96"/>
      <c r="M756" s="23"/>
      <c r="N756" s="23"/>
      <c r="O756" s="23"/>
      <c r="P756" s="23"/>
      <c r="Q756" s="23"/>
      <c r="R756" s="23"/>
      <c r="S756" s="23"/>
      <c r="T756" s="23"/>
      <c r="U756" s="96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ht="15.7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96"/>
      <c r="M757" s="23"/>
      <c r="N757" s="23"/>
      <c r="O757" s="23"/>
      <c r="P757" s="23"/>
      <c r="Q757" s="23"/>
      <c r="R757" s="23"/>
      <c r="S757" s="23"/>
      <c r="T757" s="23"/>
      <c r="U757" s="96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ht="15.7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96"/>
      <c r="M758" s="23"/>
      <c r="N758" s="23"/>
      <c r="O758" s="23"/>
      <c r="P758" s="23"/>
      <c r="Q758" s="23"/>
      <c r="R758" s="23"/>
      <c r="S758" s="23"/>
      <c r="T758" s="23"/>
      <c r="U758" s="96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ht="15.7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96"/>
      <c r="M759" s="23"/>
      <c r="N759" s="23"/>
      <c r="O759" s="23"/>
      <c r="P759" s="23"/>
      <c r="Q759" s="23"/>
      <c r="R759" s="23"/>
      <c r="S759" s="23"/>
      <c r="T759" s="23"/>
      <c r="U759" s="96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ht="15.7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96"/>
      <c r="M760" s="23"/>
      <c r="N760" s="23"/>
      <c r="O760" s="23"/>
      <c r="P760" s="23"/>
      <c r="Q760" s="23"/>
      <c r="R760" s="23"/>
      <c r="S760" s="23"/>
      <c r="T760" s="23"/>
      <c r="U760" s="96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ht="15.7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96"/>
      <c r="M761" s="23"/>
      <c r="N761" s="23"/>
      <c r="O761" s="23"/>
      <c r="P761" s="23"/>
      <c r="Q761" s="23"/>
      <c r="R761" s="23"/>
      <c r="S761" s="23"/>
      <c r="T761" s="23"/>
      <c r="U761" s="96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ht="15.7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96"/>
      <c r="M762" s="23"/>
      <c r="N762" s="23"/>
      <c r="O762" s="23"/>
      <c r="P762" s="23"/>
      <c r="Q762" s="23"/>
      <c r="R762" s="23"/>
      <c r="S762" s="23"/>
      <c r="T762" s="23"/>
      <c r="U762" s="96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ht="15.7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96"/>
      <c r="M763" s="23"/>
      <c r="N763" s="23"/>
      <c r="O763" s="23"/>
      <c r="P763" s="23"/>
      <c r="Q763" s="23"/>
      <c r="R763" s="23"/>
      <c r="S763" s="23"/>
      <c r="T763" s="23"/>
      <c r="U763" s="96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ht="15.7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96"/>
      <c r="M764" s="23"/>
      <c r="N764" s="23"/>
      <c r="O764" s="23"/>
      <c r="P764" s="23"/>
      <c r="Q764" s="23"/>
      <c r="R764" s="23"/>
      <c r="S764" s="23"/>
      <c r="T764" s="23"/>
      <c r="U764" s="96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ht="15.7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96"/>
      <c r="M765" s="23"/>
      <c r="N765" s="23"/>
      <c r="O765" s="23"/>
      <c r="P765" s="23"/>
      <c r="Q765" s="23"/>
      <c r="R765" s="23"/>
      <c r="S765" s="23"/>
      <c r="T765" s="23"/>
      <c r="U765" s="96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ht="15.7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96"/>
      <c r="M766" s="23"/>
      <c r="N766" s="23"/>
      <c r="O766" s="23"/>
      <c r="P766" s="23"/>
      <c r="Q766" s="23"/>
      <c r="R766" s="23"/>
      <c r="S766" s="23"/>
      <c r="T766" s="23"/>
      <c r="U766" s="96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ht="15.7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96"/>
      <c r="M767" s="23"/>
      <c r="N767" s="23"/>
      <c r="O767" s="23"/>
      <c r="P767" s="23"/>
      <c r="Q767" s="23"/>
      <c r="R767" s="23"/>
      <c r="S767" s="23"/>
      <c r="T767" s="23"/>
      <c r="U767" s="96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ht="15.7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96"/>
      <c r="M768" s="23"/>
      <c r="N768" s="23"/>
      <c r="O768" s="23"/>
      <c r="P768" s="23"/>
      <c r="Q768" s="23"/>
      <c r="R768" s="23"/>
      <c r="S768" s="23"/>
      <c r="T768" s="23"/>
      <c r="U768" s="96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ht="15.7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96"/>
      <c r="M769" s="23"/>
      <c r="N769" s="23"/>
      <c r="O769" s="23"/>
      <c r="P769" s="23"/>
      <c r="Q769" s="23"/>
      <c r="R769" s="23"/>
      <c r="S769" s="23"/>
      <c r="T769" s="23"/>
      <c r="U769" s="96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ht="15.7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96"/>
      <c r="M770" s="23"/>
      <c r="N770" s="23"/>
      <c r="O770" s="23"/>
      <c r="P770" s="23"/>
      <c r="Q770" s="23"/>
      <c r="R770" s="23"/>
      <c r="S770" s="23"/>
      <c r="T770" s="23"/>
      <c r="U770" s="96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ht="15.7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96"/>
      <c r="M771" s="23"/>
      <c r="N771" s="23"/>
      <c r="O771" s="23"/>
      <c r="P771" s="23"/>
      <c r="Q771" s="23"/>
      <c r="R771" s="23"/>
      <c r="S771" s="23"/>
      <c r="T771" s="23"/>
      <c r="U771" s="96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ht="15.7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96"/>
      <c r="M772" s="23"/>
      <c r="N772" s="23"/>
      <c r="O772" s="23"/>
      <c r="P772" s="23"/>
      <c r="Q772" s="23"/>
      <c r="R772" s="23"/>
      <c r="S772" s="23"/>
      <c r="T772" s="23"/>
      <c r="U772" s="96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ht="15.7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96"/>
      <c r="M773" s="23"/>
      <c r="N773" s="23"/>
      <c r="O773" s="23"/>
      <c r="P773" s="23"/>
      <c r="Q773" s="23"/>
      <c r="R773" s="23"/>
      <c r="S773" s="23"/>
      <c r="T773" s="23"/>
      <c r="U773" s="96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ht="15.7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96"/>
      <c r="M774" s="23"/>
      <c r="N774" s="23"/>
      <c r="O774" s="23"/>
      <c r="P774" s="23"/>
      <c r="Q774" s="23"/>
      <c r="R774" s="23"/>
      <c r="S774" s="23"/>
      <c r="T774" s="23"/>
      <c r="U774" s="96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ht="15.7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96"/>
      <c r="M775" s="23"/>
      <c r="N775" s="23"/>
      <c r="O775" s="23"/>
      <c r="P775" s="23"/>
      <c r="Q775" s="23"/>
      <c r="R775" s="23"/>
      <c r="S775" s="23"/>
      <c r="T775" s="23"/>
      <c r="U775" s="96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ht="15.7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96"/>
      <c r="M776" s="23"/>
      <c r="N776" s="23"/>
      <c r="O776" s="23"/>
      <c r="P776" s="23"/>
      <c r="Q776" s="23"/>
      <c r="R776" s="23"/>
      <c r="S776" s="23"/>
      <c r="T776" s="23"/>
      <c r="U776" s="96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ht="15.7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96"/>
      <c r="M777" s="23"/>
      <c r="N777" s="23"/>
      <c r="O777" s="23"/>
      <c r="P777" s="23"/>
      <c r="Q777" s="23"/>
      <c r="R777" s="23"/>
      <c r="S777" s="23"/>
      <c r="T777" s="23"/>
      <c r="U777" s="96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ht="15.7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96"/>
      <c r="M778" s="23"/>
      <c r="N778" s="23"/>
      <c r="O778" s="23"/>
      <c r="P778" s="23"/>
      <c r="Q778" s="23"/>
      <c r="R778" s="23"/>
      <c r="S778" s="23"/>
      <c r="T778" s="23"/>
      <c r="U778" s="96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ht="15.7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96"/>
      <c r="M779" s="23"/>
      <c r="N779" s="23"/>
      <c r="O779" s="23"/>
      <c r="P779" s="23"/>
      <c r="Q779" s="23"/>
      <c r="R779" s="23"/>
      <c r="S779" s="23"/>
      <c r="T779" s="23"/>
      <c r="U779" s="96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ht="15.7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96"/>
      <c r="M780" s="23"/>
      <c r="N780" s="23"/>
      <c r="O780" s="23"/>
      <c r="P780" s="23"/>
      <c r="Q780" s="23"/>
      <c r="R780" s="23"/>
      <c r="S780" s="23"/>
      <c r="T780" s="23"/>
      <c r="U780" s="96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ht="15.7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96"/>
      <c r="M781" s="23"/>
      <c r="N781" s="23"/>
      <c r="O781" s="23"/>
      <c r="P781" s="23"/>
      <c r="Q781" s="23"/>
      <c r="R781" s="23"/>
      <c r="S781" s="23"/>
      <c r="T781" s="23"/>
      <c r="U781" s="96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ht="15.7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96"/>
      <c r="M782" s="23"/>
      <c r="N782" s="23"/>
      <c r="O782" s="23"/>
      <c r="P782" s="23"/>
      <c r="Q782" s="23"/>
      <c r="R782" s="23"/>
      <c r="S782" s="23"/>
      <c r="T782" s="23"/>
      <c r="U782" s="96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ht="15.7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96"/>
      <c r="M783" s="23"/>
      <c r="N783" s="23"/>
      <c r="O783" s="23"/>
      <c r="P783" s="23"/>
      <c r="Q783" s="23"/>
      <c r="R783" s="23"/>
      <c r="S783" s="23"/>
      <c r="T783" s="23"/>
      <c r="U783" s="96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ht="15.7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96"/>
      <c r="M784" s="23"/>
      <c r="N784" s="23"/>
      <c r="O784" s="23"/>
      <c r="P784" s="23"/>
      <c r="Q784" s="23"/>
      <c r="R784" s="23"/>
      <c r="S784" s="23"/>
      <c r="T784" s="23"/>
      <c r="U784" s="96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ht="15.7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96"/>
      <c r="M785" s="23"/>
      <c r="N785" s="23"/>
      <c r="O785" s="23"/>
      <c r="P785" s="23"/>
      <c r="Q785" s="23"/>
      <c r="R785" s="23"/>
      <c r="S785" s="23"/>
      <c r="T785" s="23"/>
      <c r="U785" s="96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ht="15.7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96"/>
      <c r="M786" s="23"/>
      <c r="N786" s="23"/>
      <c r="O786" s="23"/>
      <c r="P786" s="23"/>
      <c r="Q786" s="23"/>
      <c r="R786" s="23"/>
      <c r="S786" s="23"/>
      <c r="T786" s="23"/>
      <c r="U786" s="96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ht="15.7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96"/>
      <c r="M787" s="23"/>
      <c r="N787" s="23"/>
      <c r="O787" s="23"/>
      <c r="P787" s="23"/>
      <c r="Q787" s="23"/>
      <c r="R787" s="23"/>
      <c r="S787" s="23"/>
      <c r="T787" s="23"/>
      <c r="U787" s="96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ht="15.7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96"/>
      <c r="M788" s="23"/>
      <c r="N788" s="23"/>
      <c r="O788" s="23"/>
      <c r="P788" s="23"/>
      <c r="Q788" s="23"/>
      <c r="R788" s="23"/>
      <c r="S788" s="23"/>
      <c r="T788" s="23"/>
      <c r="U788" s="96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ht="15.7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96"/>
      <c r="M789" s="23"/>
      <c r="N789" s="23"/>
      <c r="O789" s="23"/>
      <c r="P789" s="23"/>
      <c r="Q789" s="23"/>
      <c r="R789" s="23"/>
      <c r="S789" s="23"/>
      <c r="T789" s="23"/>
      <c r="U789" s="96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ht="15.7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96"/>
      <c r="M790" s="23"/>
      <c r="N790" s="23"/>
      <c r="O790" s="23"/>
      <c r="P790" s="23"/>
      <c r="Q790" s="23"/>
      <c r="R790" s="23"/>
      <c r="S790" s="23"/>
      <c r="T790" s="23"/>
      <c r="U790" s="96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ht="15.7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96"/>
      <c r="M791" s="23"/>
      <c r="N791" s="23"/>
      <c r="O791" s="23"/>
      <c r="P791" s="23"/>
      <c r="Q791" s="23"/>
      <c r="R791" s="23"/>
      <c r="S791" s="23"/>
      <c r="T791" s="23"/>
      <c r="U791" s="96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ht="15.7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96"/>
      <c r="M792" s="23"/>
      <c r="N792" s="23"/>
      <c r="O792" s="23"/>
      <c r="P792" s="23"/>
      <c r="Q792" s="23"/>
      <c r="R792" s="23"/>
      <c r="S792" s="23"/>
      <c r="T792" s="23"/>
      <c r="U792" s="96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ht="15.7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96"/>
      <c r="M793" s="23"/>
      <c r="N793" s="23"/>
      <c r="O793" s="23"/>
      <c r="P793" s="23"/>
      <c r="Q793" s="23"/>
      <c r="R793" s="23"/>
      <c r="S793" s="23"/>
      <c r="T793" s="23"/>
      <c r="U793" s="96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ht="15.7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96"/>
      <c r="M794" s="23"/>
      <c r="N794" s="23"/>
      <c r="O794" s="23"/>
      <c r="P794" s="23"/>
      <c r="Q794" s="23"/>
      <c r="R794" s="23"/>
      <c r="S794" s="23"/>
      <c r="T794" s="23"/>
      <c r="U794" s="96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ht="15.7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96"/>
      <c r="M795" s="23"/>
      <c r="N795" s="23"/>
      <c r="O795" s="23"/>
      <c r="P795" s="23"/>
      <c r="Q795" s="23"/>
      <c r="R795" s="23"/>
      <c r="S795" s="23"/>
      <c r="T795" s="23"/>
      <c r="U795" s="96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ht="15.7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96"/>
      <c r="M796" s="23"/>
      <c r="N796" s="23"/>
      <c r="O796" s="23"/>
      <c r="P796" s="23"/>
      <c r="Q796" s="23"/>
      <c r="R796" s="23"/>
      <c r="S796" s="23"/>
      <c r="T796" s="23"/>
      <c r="U796" s="96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ht="15.7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96"/>
      <c r="M797" s="23"/>
      <c r="N797" s="23"/>
      <c r="O797" s="23"/>
      <c r="P797" s="23"/>
      <c r="Q797" s="23"/>
      <c r="R797" s="23"/>
      <c r="S797" s="23"/>
      <c r="T797" s="23"/>
      <c r="U797" s="96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ht="15.7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96"/>
      <c r="M798" s="23"/>
      <c r="N798" s="23"/>
      <c r="O798" s="23"/>
      <c r="P798" s="23"/>
      <c r="Q798" s="23"/>
      <c r="R798" s="23"/>
      <c r="S798" s="23"/>
      <c r="T798" s="23"/>
      <c r="U798" s="96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ht="15.7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96"/>
      <c r="M799" s="23"/>
      <c r="N799" s="23"/>
      <c r="O799" s="23"/>
      <c r="P799" s="23"/>
      <c r="Q799" s="23"/>
      <c r="R799" s="23"/>
      <c r="S799" s="23"/>
      <c r="T799" s="23"/>
      <c r="U799" s="96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ht="15.7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96"/>
      <c r="M800" s="23"/>
      <c r="N800" s="23"/>
      <c r="O800" s="23"/>
      <c r="P800" s="23"/>
      <c r="Q800" s="23"/>
      <c r="R800" s="23"/>
      <c r="S800" s="23"/>
      <c r="T800" s="23"/>
      <c r="U800" s="96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ht="15.7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96"/>
      <c r="M801" s="23"/>
      <c r="N801" s="23"/>
      <c r="O801" s="23"/>
      <c r="P801" s="23"/>
      <c r="Q801" s="23"/>
      <c r="R801" s="23"/>
      <c r="S801" s="23"/>
      <c r="T801" s="23"/>
      <c r="U801" s="96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ht="15.7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96"/>
      <c r="M802" s="23"/>
      <c r="N802" s="23"/>
      <c r="O802" s="23"/>
      <c r="P802" s="23"/>
      <c r="Q802" s="23"/>
      <c r="R802" s="23"/>
      <c r="S802" s="23"/>
      <c r="T802" s="23"/>
      <c r="U802" s="96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ht="15.7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96"/>
      <c r="M803" s="23"/>
      <c r="N803" s="23"/>
      <c r="O803" s="23"/>
      <c r="P803" s="23"/>
      <c r="Q803" s="23"/>
      <c r="R803" s="23"/>
      <c r="S803" s="23"/>
      <c r="T803" s="23"/>
      <c r="U803" s="96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ht="15.7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96"/>
      <c r="M804" s="23"/>
      <c r="N804" s="23"/>
      <c r="O804" s="23"/>
      <c r="P804" s="23"/>
      <c r="Q804" s="23"/>
      <c r="R804" s="23"/>
      <c r="S804" s="23"/>
      <c r="T804" s="23"/>
      <c r="U804" s="96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ht="15.7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96"/>
      <c r="M805" s="23"/>
      <c r="N805" s="23"/>
      <c r="O805" s="23"/>
      <c r="P805" s="23"/>
      <c r="Q805" s="23"/>
      <c r="R805" s="23"/>
      <c r="S805" s="23"/>
      <c r="T805" s="23"/>
      <c r="U805" s="96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ht="15.7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96"/>
      <c r="M806" s="23"/>
      <c r="N806" s="23"/>
      <c r="O806" s="23"/>
      <c r="P806" s="23"/>
      <c r="Q806" s="23"/>
      <c r="R806" s="23"/>
      <c r="S806" s="23"/>
      <c r="T806" s="23"/>
      <c r="U806" s="96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ht="15.7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96"/>
      <c r="M807" s="23"/>
      <c r="N807" s="23"/>
      <c r="O807" s="23"/>
      <c r="P807" s="23"/>
      <c r="Q807" s="23"/>
      <c r="R807" s="23"/>
      <c r="S807" s="23"/>
      <c r="T807" s="23"/>
      <c r="U807" s="96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ht="15.7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96"/>
      <c r="M808" s="23"/>
      <c r="N808" s="23"/>
      <c r="O808" s="23"/>
      <c r="P808" s="23"/>
      <c r="Q808" s="23"/>
      <c r="R808" s="23"/>
      <c r="S808" s="23"/>
      <c r="T808" s="23"/>
      <c r="U808" s="96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ht="15.7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96"/>
      <c r="M809" s="23"/>
      <c r="N809" s="23"/>
      <c r="O809" s="23"/>
      <c r="P809" s="23"/>
      <c r="Q809" s="23"/>
      <c r="R809" s="23"/>
      <c r="S809" s="23"/>
      <c r="T809" s="23"/>
      <c r="U809" s="96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ht="15.7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96"/>
      <c r="M810" s="23"/>
      <c r="N810" s="23"/>
      <c r="O810" s="23"/>
      <c r="P810" s="23"/>
      <c r="Q810" s="23"/>
      <c r="R810" s="23"/>
      <c r="S810" s="23"/>
      <c r="T810" s="23"/>
      <c r="U810" s="96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ht="15.7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96"/>
      <c r="M811" s="23"/>
      <c r="N811" s="23"/>
      <c r="O811" s="23"/>
      <c r="P811" s="23"/>
      <c r="Q811" s="23"/>
      <c r="R811" s="23"/>
      <c r="S811" s="23"/>
      <c r="T811" s="23"/>
      <c r="U811" s="96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ht="15.7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96"/>
      <c r="M812" s="23"/>
      <c r="N812" s="23"/>
      <c r="O812" s="23"/>
      <c r="P812" s="23"/>
      <c r="Q812" s="23"/>
      <c r="R812" s="23"/>
      <c r="S812" s="23"/>
      <c r="T812" s="23"/>
      <c r="U812" s="96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ht="15.7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96"/>
      <c r="M813" s="23"/>
      <c r="N813" s="23"/>
      <c r="O813" s="23"/>
      <c r="P813" s="23"/>
      <c r="Q813" s="23"/>
      <c r="R813" s="23"/>
      <c r="S813" s="23"/>
      <c r="T813" s="23"/>
      <c r="U813" s="96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ht="15.7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96"/>
      <c r="M814" s="23"/>
      <c r="N814" s="23"/>
      <c r="O814" s="23"/>
      <c r="P814" s="23"/>
      <c r="Q814" s="23"/>
      <c r="R814" s="23"/>
      <c r="S814" s="23"/>
      <c r="T814" s="23"/>
      <c r="U814" s="96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ht="15.7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96"/>
      <c r="M815" s="23"/>
      <c r="N815" s="23"/>
      <c r="O815" s="23"/>
      <c r="P815" s="23"/>
      <c r="Q815" s="23"/>
      <c r="R815" s="23"/>
      <c r="S815" s="23"/>
      <c r="T815" s="23"/>
      <c r="U815" s="96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ht="15.7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96"/>
      <c r="M816" s="23"/>
      <c r="N816" s="23"/>
      <c r="O816" s="23"/>
      <c r="P816" s="23"/>
      <c r="Q816" s="23"/>
      <c r="R816" s="23"/>
      <c r="S816" s="23"/>
      <c r="T816" s="23"/>
      <c r="U816" s="96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ht="15.7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96"/>
      <c r="M817" s="23"/>
      <c r="N817" s="23"/>
      <c r="O817" s="23"/>
      <c r="P817" s="23"/>
      <c r="Q817" s="23"/>
      <c r="R817" s="23"/>
      <c r="S817" s="23"/>
      <c r="T817" s="23"/>
      <c r="U817" s="96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ht="15.7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96"/>
      <c r="M818" s="23"/>
      <c r="N818" s="23"/>
      <c r="O818" s="23"/>
      <c r="P818" s="23"/>
      <c r="Q818" s="23"/>
      <c r="R818" s="23"/>
      <c r="S818" s="23"/>
      <c r="T818" s="23"/>
      <c r="U818" s="96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ht="15.7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96"/>
      <c r="M819" s="23"/>
      <c r="N819" s="23"/>
      <c r="O819" s="23"/>
      <c r="P819" s="23"/>
      <c r="Q819" s="23"/>
      <c r="R819" s="23"/>
      <c r="S819" s="23"/>
      <c r="T819" s="23"/>
      <c r="U819" s="96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ht="15.7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96"/>
      <c r="M820" s="23"/>
      <c r="N820" s="23"/>
      <c r="O820" s="23"/>
      <c r="P820" s="23"/>
      <c r="Q820" s="23"/>
      <c r="R820" s="23"/>
      <c r="S820" s="23"/>
      <c r="T820" s="23"/>
      <c r="U820" s="96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ht="15.7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96"/>
      <c r="M821" s="23"/>
      <c r="N821" s="23"/>
      <c r="O821" s="23"/>
      <c r="P821" s="23"/>
      <c r="Q821" s="23"/>
      <c r="R821" s="23"/>
      <c r="S821" s="23"/>
      <c r="T821" s="23"/>
      <c r="U821" s="96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ht="15.7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96"/>
      <c r="M822" s="23"/>
      <c r="N822" s="23"/>
      <c r="O822" s="23"/>
      <c r="P822" s="23"/>
      <c r="Q822" s="23"/>
      <c r="R822" s="23"/>
      <c r="S822" s="23"/>
      <c r="T822" s="23"/>
      <c r="U822" s="96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ht="15.7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96"/>
      <c r="M823" s="23"/>
      <c r="N823" s="23"/>
      <c r="O823" s="23"/>
      <c r="P823" s="23"/>
      <c r="Q823" s="23"/>
      <c r="R823" s="23"/>
      <c r="S823" s="23"/>
      <c r="T823" s="23"/>
      <c r="U823" s="96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ht="15.7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96"/>
      <c r="M824" s="23"/>
      <c r="N824" s="23"/>
      <c r="O824" s="23"/>
      <c r="P824" s="23"/>
      <c r="Q824" s="23"/>
      <c r="R824" s="23"/>
      <c r="S824" s="23"/>
      <c r="T824" s="23"/>
      <c r="U824" s="96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ht="15.7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96"/>
      <c r="M825" s="23"/>
      <c r="N825" s="23"/>
      <c r="O825" s="23"/>
      <c r="P825" s="23"/>
      <c r="Q825" s="23"/>
      <c r="R825" s="23"/>
      <c r="S825" s="23"/>
      <c r="T825" s="23"/>
      <c r="U825" s="96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ht="15.7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96"/>
      <c r="M826" s="23"/>
      <c r="N826" s="23"/>
      <c r="O826" s="23"/>
      <c r="P826" s="23"/>
      <c r="Q826" s="23"/>
      <c r="R826" s="23"/>
      <c r="S826" s="23"/>
      <c r="T826" s="23"/>
      <c r="U826" s="96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ht="15.7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96"/>
      <c r="M827" s="23"/>
      <c r="N827" s="23"/>
      <c r="O827" s="23"/>
      <c r="P827" s="23"/>
      <c r="Q827" s="23"/>
      <c r="R827" s="23"/>
      <c r="S827" s="23"/>
      <c r="T827" s="23"/>
      <c r="U827" s="96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ht="15.7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96"/>
      <c r="M828" s="23"/>
      <c r="N828" s="23"/>
      <c r="O828" s="23"/>
      <c r="P828" s="23"/>
      <c r="Q828" s="23"/>
      <c r="R828" s="23"/>
      <c r="S828" s="23"/>
      <c r="T828" s="23"/>
      <c r="U828" s="96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ht="15.7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96"/>
      <c r="M829" s="23"/>
      <c r="N829" s="23"/>
      <c r="O829" s="23"/>
      <c r="P829" s="23"/>
      <c r="Q829" s="23"/>
      <c r="R829" s="23"/>
      <c r="S829" s="23"/>
      <c r="T829" s="23"/>
      <c r="U829" s="96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ht="15.7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96"/>
      <c r="M830" s="23"/>
      <c r="N830" s="23"/>
      <c r="O830" s="23"/>
      <c r="P830" s="23"/>
      <c r="Q830" s="23"/>
      <c r="R830" s="23"/>
      <c r="S830" s="23"/>
      <c r="T830" s="23"/>
      <c r="U830" s="96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ht="15.7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96"/>
      <c r="M831" s="23"/>
      <c r="N831" s="23"/>
      <c r="O831" s="23"/>
      <c r="P831" s="23"/>
      <c r="Q831" s="23"/>
      <c r="R831" s="23"/>
      <c r="S831" s="23"/>
      <c r="T831" s="23"/>
      <c r="U831" s="96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ht="15.7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96"/>
      <c r="M832" s="23"/>
      <c r="N832" s="23"/>
      <c r="O832" s="23"/>
      <c r="P832" s="23"/>
      <c r="Q832" s="23"/>
      <c r="R832" s="23"/>
      <c r="S832" s="23"/>
      <c r="T832" s="23"/>
      <c r="U832" s="96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ht="15.7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96"/>
      <c r="M833" s="23"/>
      <c r="N833" s="23"/>
      <c r="O833" s="23"/>
      <c r="P833" s="23"/>
      <c r="Q833" s="23"/>
      <c r="R833" s="23"/>
      <c r="S833" s="23"/>
      <c r="T833" s="23"/>
      <c r="U833" s="96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ht="15.7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96"/>
      <c r="M834" s="23"/>
      <c r="N834" s="23"/>
      <c r="O834" s="23"/>
      <c r="P834" s="23"/>
      <c r="Q834" s="23"/>
      <c r="R834" s="23"/>
      <c r="S834" s="23"/>
      <c r="T834" s="23"/>
      <c r="U834" s="96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ht="15.7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96"/>
      <c r="M835" s="23"/>
      <c r="N835" s="23"/>
      <c r="O835" s="23"/>
      <c r="P835" s="23"/>
      <c r="Q835" s="23"/>
      <c r="R835" s="23"/>
      <c r="S835" s="23"/>
      <c r="T835" s="23"/>
      <c r="U835" s="96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ht="15.7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96"/>
      <c r="M836" s="23"/>
      <c r="N836" s="23"/>
      <c r="O836" s="23"/>
      <c r="P836" s="23"/>
      <c r="Q836" s="23"/>
      <c r="R836" s="23"/>
      <c r="S836" s="23"/>
      <c r="T836" s="23"/>
      <c r="U836" s="96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ht="15.7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96"/>
      <c r="M837" s="23"/>
      <c r="N837" s="23"/>
      <c r="O837" s="23"/>
      <c r="P837" s="23"/>
      <c r="Q837" s="23"/>
      <c r="R837" s="23"/>
      <c r="S837" s="23"/>
      <c r="T837" s="23"/>
      <c r="U837" s="96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ht="15.7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96"/>
      <c r="M838" s="23"/>
      <c r="N838" s="23"/>
      <c r="O838" s="23"/>
      <c r="P838" s="23"/>
      <c r="Q838" s="23"/>
      <c r="R838" s="23"/>
      <c r="S838" s="23"/>
      <c r="T838" s="23"/>
      <c r="U838" s="96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ht="15.7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96"/>
      <c r="M839" s="23"/>
      <c r="N839" s="23"/>
      <c r="O839" s="23"/>
      <c r="P839" s="23"/>
      <c r="Q839" s="23"/>
      <c r="R839" s="23"/>
      <c r="S839" s="23"/>
      <c r="T839" s="23"/>
      <c r="U839" s="96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ht="15.7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96"/>
      <c r="M840" s="23"/>
      <c r="N840" s="23"/>
      <c r="O840" s="23"/>
      <c r="P840" s="23"/>
      <c r="Q840" s="23"/>
      <c r="R840" s="23"/>
      <c r="S840" s="23"/>
      <c r="T840" s="23"/>
      <c r="U840" s="96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ht="15.7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96"/>
      <c r="M841" s="23"/>
      <c r="N841" s="23"/>
      <c r="O841" s="23"/>
      <c r="P841" s="23"/>
      <c r="Q841" s="23"/>
      <c r="R841" s="23"/>
      <c r="S841" s="23"/>
      <c r="T841" s="23"/>
      <c r="U841" s="96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ht="15.7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96"/>
      <c r="M842" s="23"/>
      <c r="N842" s="23"/>
      <c r="O842" s="23"/>
      <c r="P842" s="23"/>
      <c r="Q842" s="23"/>
      <c r="R842" s="23"/>
      <c r="S842" s="23"/>
      <c r="T842" s="23"/>
      <c r="U842" s="96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ht="15.7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96"/>
      <c r="M843" s="23"/>
      <c r="N843" s="23"/>
      <c r="O843" s="23"/>
      <c r="P843" s="23"/>
      <c r="Q843" s="23"/>
      <c r="R843" s="23"/>
      <c r="S843" s="23"/>
      <c r="T843" s="23"/>
      <c r="U843" s="96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ht="15.7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96"/>
      <c r="M844" s="23"/>
      <c r="N844" s="23"/>
      <c r="O844" s="23"/>
      <c r="P844" s="23"/>
      <c r="Q844" s="23"/>
      <c r="R844" s="23"/>
      <c r="S844" s="23"/>
      <c r="T844" s="23"/>
      <c r="U844" s="96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ht="15.7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96"/>
      <c r="M845" s="23"/>
      <c r="N845" s="23"/>
      <c r="O845" s="23"/>
      <c r="P845" s="23"/>
      <c r="Q845" s="23"/>
      <c r="R845" s="23"/>
      <c r="S845" s="23"/>
      <c r="T845" s="23"/>
      <c r="U845" s="96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ht="15.7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96"/>
      <c r="M846" s="23"/>
      <c r="N846" s="23"/>
      <c r="O846" s="23"/>
      <c r="P846" s="23"/>
      <c r="Q846" s="23"/>
      <c r="R846" s="23"/>
      <c r="S846" s="23"/>
      <c r="T846" s="23"/>
      <c r="U846" s="96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ht="15.7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96"/>
      <c r="M847" s="23"/>
      <c r="N847" s="23"/>
      <c r="O847" s="23"/>
      <c r="P847" s="23"/>
      <c r="Q847" s="23"/>
      <c r="R847" s="23"/>
      <c r="S847" s="23"/>
      <c r="T847" s="23"/>
      <c r="U847" s="96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ht="15.7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96"/>
      <c r="M848" s="23"/>
      <c r="N848" s="23"/>
      <c r="O848" s="23"/>
      <c r="P848" s="23"/>
      <c r="Q848" s="23"/>
      <c r="R848" s="23"/>
      <c r="S848" s="23"/>
      <c r="T848" s="23"/>
      <c r="U848" s="96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ht="15.7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96"/>
      <c r="M849" s="23"/>
      <c r="N849" s="23"/>
      <c r="O849" s="23"/>
      <c r="P849" s="23"/>
      <c r="Q849" s="23"/>
      <c r="R849" s="23"/>
      <c r="S849" s="23"/>
      <c r="T849" s="23"/>
      <c r="U849" s="96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ht="15.7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96"/>
      <c r="M850" s="23"/>
      <c r="N850" s="23"/>
      <c r="O850" s="23"/>
      <c r="P850" s="23"/>
      <c r="Q850" s="23"/>
      <c r="R850" s="23"/>
      <c r="S850" s="23"/>
      <c r="T850" s="23"/>
      <c r="U850" s="96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ht="15.7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96"/>
      <c r="M851" s="23"/>
      <c r="N851" s="23"/>
      <c r="O851" s="23"/>
      <c r="P851" s="23"/>
      <c r="Q851" s="23"/>
      <c r="R851" s="23"/>
      <c r="S851" s="23"/>
      <c r="T851" s="23"/>
      <c r="U851" s="96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ht="15.7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96"/>
      <c r="M852" s="23"/>
      <c r="N852" s="23"/>
      <c r="O852" s="23"/>
      <c r="P852" s="23"/>
      <c r="Q852" s="23"/>
      <c r="R852" s="23"/>
      <c r="S852" s="23"/>
      <c r="T852" s="23"/>
      <c r="U852" s="96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ht="15.7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96"/>
      <c r="M853" s="23"/>
      <c r="N853" s="23"/>
      <c r="O853" s="23"/>
      <c r="P853" s="23"/>
      <c r="Q853" s="23"/>
      <c r="R853" s="23"/>
      <c r="S853" s="23"/>
      <c r="T853" s="23"/>
      <c r="U853" s="96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ht="15.7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96"/>
      <c r="M854" s="23"/>
      <c r="N854" s="23"/>
      <c r="O854" s="23"/>
      <c r="P854" s="23"/>
      <c r="Q854" s="23"/>
      <c r="R854" s="23"/>
      <c r="S854" s="23"/>
      <c r="T854" s="23"/>
      <c r="U854" s="96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ht="15.7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96"/>
      <c r="M855" s="23"/>
      <c r="N855" s="23"/>
      <c r="O855" s="23"/>
      <c r="P855" s="23"/>
      <c r="Q855" s="23"/>
      <c r="R855" s="23"/>
      <c r="S855" s="23"/>
      <c r="T855" s="23"/>
      <c r="U855" s="96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ht="15.7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96"/>
      <c r="M856" s="23"/>
      <c r="N856" s="23"/>
      <c r="O856" s="23"/>
      <c r="P856" s="23"/>
      <c r="Q856" s="23"/>
      <c r="R856" s="23"/>
      <c r="S856" s="23"/>
      <c r="T856" s="23"/>
      <c r="U856" s="96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ht="15.7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96"/>
      <c r="M857" s="23"/>
      <c r="N857" s="23"/>
      <c r="O857" s="23"/>
      <c r="P857" s="23"/>
      <c r="Q857" s="23"/>
      <c r="R857" s="23"/>
      <c r="S857" s="23"/>
      <c r="T857" s="23"/>
      <c r="U857" s="96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ht="15.7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96"/>
      <c r="M858" s="23"/>
      <c r="N858" s="23"/>
      <c r="O858" s="23"/>
      <c r="P858" s="23"/>
      <c r="Q858" s="23"/>
      <c r="R858" s="23"/>
      <c r="S858" s="23"/>
      <c r="T858" s="23"/>
      <c r="U858" s="96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ht="15.7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96"/>
      <c r="M859" s="23"/>
      <c r="N859" s="23"/>
      <c r="O859" s="23"/>
      <c r="P859" s="23"/>
      <c r="Q859" s="23"/>
      <c r="R859" s="23"/>
      <c r="S859" s="23"/>
      <c r="T859" s="23"/>
      <c r="U859" s="96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ht="15.7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96"/>
      <c r="M860" s="23"/>
      <c r="N860" s="23"/>
      <c r="O860" s="23"/>
      <c r="P860" s="23"/>
      <c r="Q860" s="23"/>
      <c r="R860" s="23"/>
      <c r="S860" s="23"/>
      <c r="T860" s="23"/>
      <c r="U860" s="96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ht="15.7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96"/>
      <c r="M861" s="23"/>
      <c r="N861" s="23"/>
      <c r="O861" s="23"/>
      <c r="P861" s="23"/>
      <c r="Q861" s="23"/>
      <c r="R861" s="23"/>
      <c r="S861" s="23"/>
      <c r="T861" s="23"/>
      <c r="U861" s="96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ht="15.7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96"/>
      <c r="M862" s="23"/>
      <c r="N862" s="23"/>
      <c r="O862" s="23"/>
      <c r="P862" s="23"/>
      <c r="Q862" s="23"/>
      <c r="R862" s="23"/>
      <c r="S862" s="23"/>
      <c r="T862" s="23"/>
      <c r="U862" s="96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ht="15.7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96"/>
      <c r="M863" s="23"/>
      <c r="N863" s="23"/>
      <c r="O863" s="23"/>
      <c r="P863" s="23"/>
      <c r="Q863" s="23"/>
      <c r="R863" s="23"/>
      <c r="S863" s="23"/>
      <c r="T863" s="23"/>
      <c r="U863" s="96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ht="15.7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96"/>
      <c r="M864" s="23"/>
      <c r="N864" s="23"/>
      <c r="O864" s="23"/>
      <c r="P864" s="23"/>
      <c r="Q864" s="23"/>
      <c r="R864" s="23"/>
      <c r="S864" s="23"/>
      <c r="T864" s="23"/>
      <c r="U864" s="96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ht="15.7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96"/>
      <c r="M865" s="23"/>
      <c r="N865" s="23"/>
      <c r="O865" s="23"/>
      <c r="P865" s="23"/>
      <c r="Q865" s="23"/>
      <c r="R865" s="23"/>
      <c r="S865" s="23"/>
      <c r="T865" s="23"/>
      <c r="U865" s="96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ht="15.7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96"/>
      <c r="M866" s="23"/>
      <c r="N866" s="23"/>
      <c r="O866" s="23"/>
      <c r="P866" s="23"/>
      <c r="Q866" s="23"/>
      <c r="R866" s="23"/>
      <c r="S866" s="23"/>
      <c r="T866" s="23"/>
      <c r="U866" s="96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ht="15.7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96"/>
      <c r="M867" s="23"/>
      <c r="N867" s="23"/>
      <c r="O867" s="23"/>
      <c r="P867" s="23"/>
      <c r="Q867" s="23"/>
      <c r="R867" s="23"/>
      <c r="S867" s="23"/>
      <c r="T867" s="23"/>
      <c r="U867" s="96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ht="15.7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96"/>
      <c r="M868" s="23"/>
      <c r="N868" s="23"/>
      <c r="O868" s="23"/>
      <c r="P868" s="23"/>
      <c r="Q868" s="23"/>
      <c r="R868" s="23"/>
      <c r="S868" s="23"/>
      <c r="T868" s="23"/>
      <c r="U868" s="96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ht="15.7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96"/>
      <c r="M869" s="23"/>
      <c r="N869" s="23"/>
      <c r="O869" s="23"/>
      <c r="P869" s="23"/>
      <c r="Q869" s="23"/>
      <c r="R869" s="23"/>
      <c r="S869" s="23"/>
      <c r="T869" s="23"/>
      <c r="U869" s="96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ht="15.7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96"/>
      <c r="M870" s="23"/>
      <c r="N870" s="23"/>
      <c r="O870" s="23"/>
      <c r="P870" s="23"/>
      <c r="Q870" s="23"/>
      <c r="R870" s="23"/>
      <c r="S870" s="23"/>
      <c r="T870" s="23"/>
      <c r="U870" s="96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ht="15.7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96"/>
      <c r="M871" s="23"/>
      <c r="N871" s="23"/>
      <c r="O871" s="23"/>
      <c r="P871" s="23"/>
      <c r="Q871" s="23"/>
      <c r="R871" s="23"/>
      <c r="S871" s="23"/>
      <c r="T871" s="23"/>
      <c r="U871" s="96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ht="15.7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96"/>
      <c r="M872" s="23"/>
      <c r="N872" s="23"/>
      <c r="O872" s="23"/>
      <c r="P872" s="23"/>
      <c r="Q872" s="23"/>
      <c r="R872" s="23"/>
      <c r="S872" s="23"/>
      <c r="T872" s="23"/>
      <c r="U872" s="96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ht="15.7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96"/>
      <c r="M873" s="23"/>
      <c r="N873" s="23"/>
      <c r="O873" s="23"/>
      <c r="P873" s="23"/>
      <c r="Q873" s="23"/>
      <c r="R873" s="23"/>
      <c r="S873" s="23"/>
      <c r="T873" s="23"/>
      <c r="U873" s="96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ht="15.7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96"/>
      <c r="M874" s="23"/>
      <c r="N874" s="23"/>
      <c r="O874" s="23"/>
      <c r="P874" s="23"/>
      <c r="Q874" s="23"/>
      <c r="R874" s="23"/>
      <c r="S874" s="23"/>
      <c r="T874" s="23"/>
      <c r="U874" s="96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ht="15.7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96"/>
      <c r="M875" s="23"/>
      <c r="N875" s="23"/>
      <c r="O875" s="23"/>
      <c r="P875" s="23"/>
      <c r="Q875" s="23"/>
      <c r="R875" s="23"/>
      <c r="S875" s="23"/>
      <c r="T875" s="23"/>
      <c r="U875" s="96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ht="15.7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96"/>
      <c r="M876" s="23"/>
      <c r="N876" s="23"/>
      <c r="O876" s="23"/>
      <c r="P876" s="23"/>
      <c r="Q876" s="23"/>
      <c r="R876" s="23"/>
      <c r="S876" s="23"/>
      <c r="T876" s="23"/>
      <c r="U876" s="96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ht="15.7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96"/>
      <c r="M877" s="23"/>
      <c r="N877" s="23"/>
      <c r="O877" s="23"/>
      <c r="P877" s="23"/>
      <c r="Q877" s="23"/>
      <c r="R877" s="23"/>
      <c r="S877" s="23"/>
      <c r="T877" s="23"/>
      <c r="U877" s="96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ht="15.7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96"/>
      <c r="M878" s="23"/>
      <c r="N878" s="23"/>
      <c r="O878" s="23"/>
      <c r="P878" s="23"/>
      <c r="Q878" s="23"/>
      <c r="R878" s="23"/>
      <c r="S878" s="23"/>
      <c r="T878" s="23"/>
      <c r="U878" s="96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ht="15.7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96"/>
      <c r="M879" s="23"/>
      <c r="N879" s="23"/>
      <c r="O879" s="23"/>
      <c r="P879" s="23"/>
      <c r="Q879" s="23"/>
      <c r="R879" s="23"/>
      <c r="S879" s="23"/>
      <c r="T879" s="23"/>
      <c r="U879" s="96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ht="15.7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96"/>
      <c r="M880" s="23"/>
      <c r="N880" s="23"/>
      <c r="O880" s="23"/>
      <c r="P880" s="23"/>
      <c r="Q880" s="23"/>
      <c r="R880" s="23"/>
      <c r="S880" s="23"/>
      <c r="T880" s="23"/>
      <c r="U880" s="96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ht="15.7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96"/>
      <c r="M881" s="23"/>
      <c r="N881" s="23"/>
      <c r="O881" s="23"/>
      <c r="P881" s="23"/>
      <c r="Q881" s="23"/>
      <c r="R881" s="23"/>
      <c r="S881" s="23"/>
      <c r="T881" s="23"/>
      <c r="U881" s="96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ht="15.7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96"/>
      <c r="M882" s="23"/>
      <c r="N882" s="23"/>
      <c r="O882" s="23"/>
      <c r="P882" s="23"/>
      <c r="Q882" s="23"/>
      <c r="R882" s="23"/>
      <c r="S882" s="23"/>
      <c r="T882" s="23"/>
      <c r="U882" s="96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ht="15.7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96"/>
      <c r="M883" s="23"/>
      <c r="N883" s="23"/>
      <c r="O883" s="23"/>
      <c r="P883" s="23"/>
      <c r="Q883" s="23"/>
      <c r="R883" s="23"/>
      <c r="S883" s="23"/>
      <c r="T883" s="23"/>
      <c r="U883" s="96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ht="15.7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96"/>
      <c r="M884" s="23"/>
      <c r="N884" s="23"/>
      <c r="O884" s="23"/>
      <c r="P884" s="23"/>
      <c r="Q884" s="23"/>
      <c r="R884" s="23"/>
      <c r="S884" s="23"/>
      <c r="T884" s="23"/>
      <c r="U884" s="96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ht="15.7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96"/>
      <c r="M885" s="23"/>
      <c r="N885" s="23"/>
      <c r="O885" s="23"/>
      <c r="P885" s="23"/>
      <c r="Q885" s="23"/>
      <c r="R885" s="23"/>
      <c r="S885" s="23"/>
      <c r="T885" s="23"/>
      <c r="U885" s="96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ht="15.7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96"/>
      <c r="M886" s="23"/>
      <c r="N886" s="23"/>
      <c r="O886" s="23"/>
      <c r="P886" s="23"/>
      <c r="Q886" s="23"/>
      <c r="R886" s="23"/>
      <c r="S886" s="23"/>
      <c r="T886" s="23"/>
      <c r="U886" s="96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ht="15.7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96"/>
      <c r="M887" s="23"/>
      <c r="N887" s="23"/>
      <c r="O887" s="23"/>
      <c r="P887" s="23"/>
      <c r="Q887" s="23"/>
      <c r="R887" s="23"/>
      <c r="S887" s="23"/>
      <c r="T887" s="23"/>
      <c r="U887" s="96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ht="15.7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96"/>
      <c r="M888" s="23"/>
      <c r="N888" s="23"/>
      <c r="O888" s="23"/>
      <c r="P888" s="23"/>
      <c r="Q888" s="23"/>
      <c r="R888" s="23"/>
      <c r="S888" s="23"/>
      <c r="T888" s="23"/>
      <c r="U888" s="96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ht="15.7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96"/>
      <c r="M889" s="23"/>
      <c r="N889" s="23"/>
      <c r="O889" s="23"/>
      <c r="P889" s="23"/>
      <c r="Q889" s="23"/>
      <c r="R889" s="23"/>
      <c r="S889" s="23"/>
      <c r="T889" s="23"/>
      <c r="U889" s="96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ht="15.7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96"/>
      <c r="M890" s="23"/>
      <c r="N890" s="23"/>
      <c r="O890" s="23"/>
      <c r="P890" s="23"/>
      <c r="Q890" s="23"/>
      <c r="R890" s="23"/>
      <c r="S890" s="23"/>
      <c r="T890" s="23"/>
      <c r="U890" s="96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ht="15.7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96"/>
      <c r="M891" s="23"/>
      <c r="N891" s="23"/>
      <c r="O891" s="23"/>
      <c r="P891" s="23"/>
      <c r="Q891" s="23"/>
      <c r="R891" s="23"/>
      <c r="S891" s="23"/>
      <c r="T891" s="23"/>
      <c r="U891" s="96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ht="15.7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96"/>
      <c r="M892" s="23"/>
      <c r="N892" s="23"/>
      <c r="O892" s="23"/>
      <c r="P892" s="23"/>
      <c r="Q892" s="23"/>
      <c r="R892" s="23"/>
      <c r="S892" s="23"/>
      <c r="T892" s="23"/>
      <c r="U892" s="96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ht="15.7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96"/>
      <c r="M893" s="23"/>
      <c r="N893" s="23"/>
      <c r="O893" s="23"/>
      <c r="P893" s="23"/>
      <c r="Q893" s="23"/>
      <c r="R893" s="23"/>
      <c r="S893" s="23"/>
      <c r="T893" s="23"/>
      <c r="U893" s="96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ht="15.7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96"/>
      <c r="M894" s="23"/>
      <c r="N894" s="23"/>
      <c r="O894" s="23"/>
      <c r="P894" s="23"/>
      <c r="Q894" s="23"/>
      <c r="R894" s="23"/>
      <c r="S894" s="23"/>
      <c r="T894" s="23"/>
      <c r="U894" s="96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ht="15.7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96"/>
      <c r="M895" s="23"/>
      <c r="N895" s="23"/>
      <c r="O895" s="23"/>
      <c r="P895" s="23"/>
      <c r="Q895" s="23"/>
      <c r="R895" s="23"/>
      <c r="S895" s="23"/>
      <c r="T895" s="23"/>
      <c r="U895" s="96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ht="15.7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96"/>
      <c r="M896" s="23"/>
      <c r="N896" s="23"/>
      <c r="O896" s="23"/>
      <c r="P896" s="23"/>
      <c r="Q896" s="23"/>
      <c r="R896" s="23"/>
      <c r="S896" s="23"/>
      <c r="T896" s="23"/>
      <c r="U896" s="96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ht="15.7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96"/>
      <c r="M897" s="23"/>
      <c r="N897" s="23"/>
      <c r="O897" s="23"/>
      <c r="P897" s="23"/>
      <c r="Q897" s="23"/>
      <c r="R897" s="23"/>
      <c r="S897" s="23"/>
      <c r="T897" s="23"/>
      <c r="U897" s="96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ht="15.7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96"/>
      <c r="M898" s="23"/>
      <c r="N898" s="23"/>
      <c r="O898" s="23"/>
      <c r="P898" s="23"/>
      <c r="Q898" s="23"/>
      <c r="R898" s="23"/>
      <c r="S898" s="23"/>
      <c r="T898" s="23"/>
      <c r="U898" s="96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ht="15.7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96"/>
      <c r="M899" s="23"/>
      <c r="N899" s="23"/>
      <c r="O899" s="23"/>
      <c r="P899" s="23"/>
      <c r="Q899" s="23"/>
      <c r="R899" s="23"/>
      <c r="S899" s="23"/>
      <c r="T899" s="23"/>
      <c r="U899" s="96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ht="15.7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96"/>
      <c r="M900" s="23"/>
      <c r="N900" s="23"/>
      <c r="O900" s="23"/>
      <c r="P900" s="23"/>
      <c r="Q900" s="23"/>
      <c r="R900" s="23"/>
      <c r="S900" s="23"/>
      <c r="T900" s="23"/>
      <c r="U900" s="96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ht="15.7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96"/>
      <c r="M901" s="23"/>
      <c r="N901" s="23"/>
      <c r="O901" s="23"/>
      <c r="P901" s="23"/>
      <c r="Q901" s="23"/>
      <c r="R901" s="23"/>
      <c r="S901" s="23"/>
      <c r="T901" s="23"/>
      <c r="U901" s="96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ht="15.7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96"/>
      <c r="M902" s="23"/>
      <c r="N902" s="23"/>
      <c r="O902" s="23"/>
      <c r="P902" s="23"/>
      <c r="Q902" s="23"/>
      <c r="R902" s="23"/>
      <c r="S902" s="23"/>
      <c r="T902" s="23"/>
      <c r="U902" s="96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ht="15.7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96"/>
      <c r="M903" s="23"/>
      <c r="N903" s="23"/>
      <c r="O903" s="23"/>
      <c r="P903" s="23"/>
      <c r="Q903" s="23"/>
      <c r="R903" s="23"/>
      <c r="S903" s="23"/>
      <c r="T903" s="23"/>
      <c r="U903" s="96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ht="15.7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96"/>
      <c r="M904" s="23"/>
      <c r="N904" s="23"/>
      <c r="O904" s="23"/>
      <c r="P904" s="23"/>
      <c r="Q904" s="23"/>
      <c r="R904" s="23"/>
      <c r="S904" s="23"/>
      <c r="T904" s="23"/>
      <c r="U904" s="96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ht="15.7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96"/>
      <c r="M905" s="23"/>
      <c r="N905" s="23"/>
      <c r="O905" s="23"/>
      <c r="P905" s="23"/>
      <c r="Q905" s="23"/>
      <c r="R905" s="23"/>
      <c r="S905" s="23"/>
      <c r="T905" s="23"/>
      <c r="U905" s="96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ht="15.7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96"/>
      <c r="M906" s="23"/>
      <c r="N906" s="23"/>
      <c r="O906" s="23"/>
      <c r="P906" s="23"/>
      <c r="Q906" s="23"/>
      <c r="R906" s="23"/>
      <c r="S906" s="23"/>
      <c r="T906" s="23"/>
      <c r="U906" s="96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ht="15.7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96"/>
      <c r="M907" s="23"/>
      <c r="N907" s="23"/>
      <c r="O907" s="23"/>
      <c r="P907" s="23"/>
      <c r="Q907" s="23"/>
      <c r="R907" s="23"/>
      <c r="S907" s="23"/>
      <c r="T907" s="23"/>
      <c r="U907" s="96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ht="15.7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96"/>
      <c r="M908" s="23"/>
      <c r="N908" s="23"/>
      <c r="O908" s="23"/>
      <c r="P908" s="23"/>
      <c r="Q908" s="23"/>
      <c r="R908" s="23"/>
      <c r="S908" s="23"/>
      <c r="T908" s="23"/>
      <c r="U908" s="96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ht="15.7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96"/>
      <c r="M909" s="23"/>
      <c r="N909" s="23"/>
      <c r="O909" s="23"/>
      <c r="P909" s="23"/>
      <c r="Q909" s="23"/>
      <c r="R909" s="23"/>
      <c r="S909" s="23"/>
      <c r="T909" s="23"/>
      <c r="U909" s="96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ht="15.7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96"/>
      <c r="M910" s="23"/>
      <c r="N910" s="23"/>
      <c r="O910" s="23"/>
      <c r="P910" s="23"/>
      <c r="Q910" s="23"/>
      <c r="R910" s="23"/>
      <c r="S910" s="23"/>
      <c r="T910" s="23"/>
      <c r="U910" s="96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ht="15.7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96"/>
      <c r="M911" s="23"/>
      <c r="N911" s="23"/>
      <c r="O911" s="23"/>
      <c r="P911" s="23"/>
      <c r="Q911" s="23"/>
      <c r="R911" s="23"/>
      <c r="S911" s="23"/>
      <c r="T911" s="23"/>
      <c r="U911" s="96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ht="15.7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96"/>
      <c r="M912" s="23"/>
      <c r="N912" s="23"/>
      <c r="O912" s="23"/>
      <c r="P912" s="23"/>
      <c r="Q912" s="23"/>
      <c r="R912" s="23"/>
      <c r="S912" s="23"/>
      <c r="T912" s="23"/>
      <c r="U912" s="96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ht="15.7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96"/>
      <c r="M913" s="23"/>
      <c r="N913" s="23"/>
      <c r="O913" s="23"/>
      <c r="P913" s="23"/>
      <c r="Q913" s="23"/>
      <c r="R913" s="23"/>
      <c r="S913" s="23"/>
      <c r="T913" s="23"/>
      <c r="U913" s="96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ht="15.7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96"/>
      <c r="M914" s="23"/>
      <c r="N914" s="23"/>
      <c r="O914" s="23"/>
      <c r="P914" s="23"/>
      <c r="Q914" s="23"/>
      <c r="R914" s="23"/>
      <c r="S914" s="23"/>
      <c r="T914" s="23"/>
      <c r="U914" s="96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ht="15.7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96"/>
      <c r="M915" s="23"/>
      <c r="N915" s="23"/>
      <c r="O915" s="23"/>
      <c r="P915" s="23"/>
      <c r="Q915" s="23"/>
      <c r="R915" s="23"/>
      <c r="S915" s="23"/>
      <c r="T915" s="23"/>
      <c r="U915" s="96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ht="15.7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96"/>
      <c r="M916" s="23"/>
      <c r="N916" s="23"/>
      <c r="O916" s="23"/>
      <c r="P916" s="23"/>
      <c r="Q916" s="23"/>
      <c r="R916" s="23"/>
      <c r="S916" s="23"/>
      <c r="T916" s="23"/>
      <c r="U916" s="96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ht="15.7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96"/>
      <c r="M917" s="23"/>
      <c r="N917" s="23"/>
      <c r="O917" s="23"/>
      <c r="P917" s="23"/>
      <c r="Q917" s="23"/>
      <c r="R917" s="23"/>
      <c r="S917" s="23"/>
      <c r="T917" s="23"/>
      <c r="U917" s="96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ht="15.7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96"/>
      <c r="M918" s="23"/>
      <c r="N918" s="23"/>
      <c r="O918" s="23"/>
      <c r="P918" s="23"/>
      <c r="Q918" s="23"/>
      <c r="R918" s="23"/>
      <c r="S918" s="23"/>
      <c r="T918" s="23"/>
      <c r="U918" s="96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ht="15.7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96"/>
      <c r="M919" s="23"/>
      <c r="N919" s="23"/>
      <c r="O919" s="23"/>
      <c r="P919" s="23"/>
      <c r="Q919" s="23"/>
      <c r="R919" s="23"/>
      <c r="S919" s="23"/>
      <c r="T919" s="23"/>
      <c r="U919" s="96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ht="15.7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96"/>
      <c r="M920" s="23"/>
      <c r="N920" s="23"/>
      <c r="O920" s="23"/>
      <c r="P920" s="23"/>
      <c r="Q920" s="23"/>
      <c r="R920" s="23"/>
      <c r="S920" s="23"/>
      <c r="T920" s="23"/>
      <c r="U920" s="96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ht="15.7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96"/>
      <c r="M921" s="23"/>
      <c r="N921" s="23"/>
      <c r="O921" s="23"/>
      <c r="P921" s="23"/>
      <c r="Q921" s="23"/>
      <c r="R921" s="23"/>
      <c r="S921" s="23"/>
      <c r="T921" s="23"/>
      <c r="U921" s="96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ht="15.7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96"/>
      <c r="M922" s="23"/>
      <c r="N922" s="23"/>
      <c r="O922" s="23"/>
      <c r="P922" s="23"/>
      <c r="Q922" s="23"/>
      <c r="R922" s="23"/>
      <c r="S922" s="23"/>
      <c r="T922" s="23"/>
      <c r="U922" s="96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ht="15.7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96"/>
      <c r="M923" s="23"/>
      <c r="N923" s="23"/>
      <c r="O923" s="23"/>
      <c r="P923" s="23"/>
      <c r="Q923" s="23"/>
      <c r="R923" s="23"/>
      <c r="S923" s="23"/>
      <c r="T923" s="23"/>
      <c r="U923" s="96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ht="15.7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96"/>
      <c r="M924" s="23"/>
      <c r="N924" s="23"/>
      <c r="O924" s="23"/>
      <c r="P924" s="23"/>
      <c r="Q924" s="23"/>
      <c r="R924" s="23"/>
      <c r="S924" s="23"/>
      <c r="T924" s="23"/>
      <c r="U924" s="96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ht="15.7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96"/>
      <c r="M925" s="23"/>
      <c r="N925" s="23"/>
      <c r="O925" s="23"/>
      <c r="P925" s="23"/>
      <c r="Q925" s="23"/>
      <c r="R925" s="23"/>
      <c r="S925" s="23"/>
      <c r="T925" s="23"/>
      <c r="U925" s="96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ht="15.7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96"/>
      <c r="M926" s="23"/>
      <c r="N926" s="23"/>
      <c r="O926" s="23"/>
      <c r="P926" s="23"/>
      <c r="Q926" s="23"/>
      <c r="R926" s="23"/>
      <c r="S926" s="23"/>
      <c r="T926" s="23"/>
      <c r="U926" s="96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ht="15.7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96"/>
      <c r="M927" s="23"/>
      <c r="N927" s="23"/>
      <c r="O927" s="23"/>
      <c r="P927" s="23"/>
      <c r="Q927" s="23"/>
      <c r="R927" s="23"/>
      <c r="S927" s="23"/>
      <c r="T927" s="23"/>
      <c r="U927" s="96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ht="15.7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96"/>
      <c r="M928" s="23"/>
      <c r="N928" s="23"/>
      <c r="O928" s="23"/>
      <c r="P928" s="23"/>
      <c r="Q928" s="23"/>
      <c r="R928" s="23"/>
      <c r="S928" s="23"/>
      <c r="T928" s="23"/>
      <c r="U928" s="96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ht="15.7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96"/>
      <c r="M929" s="23"/>
      <c r="N929" s="23"/>
      <c r="O929" s="23"/>
      <c r="P929" s="23"/>
      <c r="Q929" s="23"/>
      <c r="R929" s="23"/>
      <c r="S929" s="23"/>
      <c r="T929" s="23"/>
      <c r="U929" s="96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ht="15.7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96"/>
      <c r="M930" s="23"/>
      <c r="N930" s="23"/>
      <c r="O930" s="23"/>
      <c r="P930" s="23"/>
      <c r="Q930" s="23"/>
      <c r="R930" s="23"/>
      <c r="S930" s="23"/>
      <c r="T930" s="23"/>
      <c r="U930" s="96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ht="15.7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96"/>
      <c r="M931" s="23"/>
      <c r="N931" s="23"/>
      <c r="O931" s="23"/>
      <c r="P931" s="23"/>
      <c r="Q931" s="23"/>
      <c r="R931" s="23"/>
      <c r="S931" s="23"/>
      <c r="T931" s="23"/>
      <c r="U931" s="96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ht="15.7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96"/>
      <c r="M932" s="23"/>
      <c r="N932" s="23"/>
      <c r="O932" s="23"/>
      <c r="P932" s="23"/>
      <c r="Q932" s="23"/>
      <c r="R932" s="23"/>
      <c r="S932" s="23"/>
      <c r="T932" s="23"/>
      <c r="U932" s="96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ht="15.7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96"/>
      <c r="M933" s="23"/>
      <c r="N933" s="23"/>
      <c r="O933" s="23"/>
      <c r="P933" s="23"/>
      <c r="Q933" s="23"/>
      <c r="R933" s="23"/>
      <c r="S933" s="23"/>
      <c r="T933" s="23"/>
      <c r="U933" s="96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ht="15.7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96"/>
      <c r="M934" s="23"/>
      <c r="N934" s="23"/>
      <c r="O934" s="23"/>
      <c r="P934" s="23"/>
      <c r="Q934" s="23"/>
      <c r="R934" s="23"/>
      <c r="S934" s="23"/>
      <c r="T934" s="23"/>
      <c r="U934" s="96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ht="15.7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96"/>
      <c r="M935" s="23"/>
      <c r="N935" s="23"/>
      <c r="O935" s="23"/>
      <c r="P935" s="23"/>
      <c r="Q935" s="23"/>
      <c r="R935" s="23"/>
      <c r="S935" s="23"/>
      <c r="T935" s="23"/>
      <c r="U935" s="96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ht="15.7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96"/>
      <c r="M936" s="23"/>
      <c r="N936" s="23"/>
      <c r="O936" s="23"/>
      <c r="P936" s="23"/>
      <c r="Q936" s="23"/>
      <c r="R936" s="23"/>
      <c r="S936" s="23"/>
      <c r="T936" s="23"/>
      <c r="U936" s="96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ht="15.7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96"/>
      <c r="M937" s="23"/>
      <c r="N937" s="23"/>
      <c r="O937" s="23"/>
      <c r="P937" s="23"/>
      <c r="Q937" s="23"/>
      <c r="R937" s="23"/>
      <c r="S937" s="23"/>
      <c r="T937" s="23"/>
      <c r="U937" s="96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ht="15.7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96"/>
      <c r="M938" s="23"/>
      <c r="N938" s="23"/>
      <c r="O938" s="23"/>
      <c r="P938" s="23"/>
      <c r="Q938" s="23"/>
      <c r="R938" s="23"/>
      <c r="S938" s="23"/>
      <c r="T938" s="23"/>
      <c r="U938" s="96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ht="15.7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96"/>
      <c r="M939" s="23"/>
      <c r="N939" s="23"/>
      <c r="O939" s="23"/>
      <c r="P939" s="23"/>
      <c r="Q939" s="23"/>
      <c r="R939" s="23"/>
      <c r="S939" s="23"/>
      <c r="T939" s="23"/>
      <c r="U939" s="96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ht="15.7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96"/>
      <c r="M940" s="23"/>
      <c r="N940" s="23"/>
      <c r="O940" s="23"/>
      <c r="P940" s="23"/>
      <c r="Q940" s="23"/>
      <c r="R940" s="23"/>
      <c r="S940" s="23"/>
      <c r="T940" s="23"/>
      <c r="U940" s="96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ht="15.7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96"/>
      <c r="M941" s="23"/>
      <c r="N941" s="23"/>
      <c r="O941" s="23"/>
      <c r="P941" s="23"/>
      <c r="Q941" s="23"/>
      <c r="R941" s="23"/>
      <c r="S941" s="23"/>
      <c r="T941" s="23"/>
      <c r="U941" s="96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ht="15.7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96"/>
      <c r="M942" s="23"/>
      <c r="N942" s="23"/>
      <c r="O942" s="23"/>
      <c r="P942" s="23"/>
      <c r="Q942" s="23"/>
      <c r="R942" s="23"/>
      <c r="S942" s="23"/>
      <c r="T942" s="23"/>
      <c r="U942" s="96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ht="15.7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96"/>
      <c r="M943" s="23"/>
      <c r="N943" s="23"/>
      <c r="O943" s="23"/>
      <c r="P943" s="23"/>
      <c r="Q943" s="23"/>
      <c r="R943" s="23"/>
      <c r="S943" s="23"/>
      <c r="T943" s="23"/>
      <c r="U943" s="96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ht="15.7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96"/>
      <c r="M944" s="23"/>
      <c r="N944" s="23"/>
      <c r="O944" s="23"/>
      <c r="P944" s="23"/>
      <c r="Q944" s="23"/>
      <c r="R944" s="23"/>
      <c r="S944" s="23"/>
      <c r="T944" s="23"/>
      <c r="U944" s="96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ht="15.7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96"/>
      <c r="M945" s="23"/>
      <c r="N945" s="23"/>
      <c r="O945" s="23"/>
      <c r="P945" s="23"/>
      <c r="Q945" s="23"/>
      <c r="R945" s="23"/>
      <c r="S945" s="23"/>
      <c r="T945" s="23"/>
      <c r="U945" s="96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ht="15.7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96"/>
      <c r="M946" s="23"/>
      <c r="N946" s="23"/>
      <c r="O946" s="23"/>
      <c r="P946" s="23"/>
      <c r="Q946" s="23"/>
      <c r="R946" s="23"/>
      <c r="S946" s="23"/>
      <c r="T946" s="23"/>
      <c r="U946" s="96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ht="15.7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96"/>
      <c r="M947" s="23"/>
      <c r="N947" s="23"/>
      <c r="O947" s="23"/>
      <c r="P947" s="23"/>
      <c r="Q947" s="23"/>
      <c r="R947" s="23"/>
      <c r="S947" s="23"/>
      <c r="T947" s="23"/>
      <c r="U947" s="96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ht="15.7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96"/>
      <c r="M948" s="23"/>
      <c r="N948" s="23"/>
      <c r="O948" s="23"/>
      <c r="P948" s="23"/>
      <c r="Q948" s="23"/>
      <c r="R948" s="23"/>
      <c r="S948" s="23"/>
      <c r="T948" s="23"/>
      <c r="U948" s="96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ht="15.7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96"/>
      <c r="M949" s="23"/>
      <c r="N949" s="23"/>
      <c r="O949" s="23"/>
      <c r="P949" s="23"/>
      <c r="Q949" s="23"/>
      <c r="R949" s="23"/>
      <c r="S949" s="23"/>
      <c r="T949" s="23"/>
      <c r="U949" s="96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ht="15.7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96"/>
      <c r="M950" s="23"/>
      <c r="N950" s="23"/>
      <c r="O950" s="23"/>
      <c r="P950" s="23"/>
      <c r="Q950" s="23"/>
      <c r="R950" s="23"/>
      <c r="S950" s="23"/>
      <c r="T950" s="23"/>
      <c r="U950" s="96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ht="15.7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96"/>
      <c r="M951" s="23"/>
      <c r="N951" s="23"/>
      <c r="O951" s="23"/>
      <c r="P951" s="23"/>
      <c r="Q951" s="23"/>
      <c r="R951" s="23"/>
      <c r="S951" s="23"/>
      <c r="T951" s="23"/>
      <c r="U951" s="96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ht="15.7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96"/>
      <c r="M952" s="23"/>
      <c r="N952" s="23"/>
      <c r="O952" s="23"/>
      <c r="P952" s="23"/>
      <c r="Q952" s="23"/>
      <c r="R952" s="23"/>
      <c r="S952" s="23"/>
      <c r="T952" s="23"/>
      <c r="U952" s="96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ht="15.7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96"/>
      <c r="M953" s="23"/>
      <c r="N953" s="23"/>
      <c r="O953" s="23"/>
      <c r="P953" s="23"/>
      <c r="Q953" s="23"/>
      <c r="R953" s="23"/>
      <c r="S953" s="23"/>
      <c r="T953" s="23"/>
      <c r="U953" s="96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ht="15.7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96"/>
      <c r="M954" s="23"/>
      <c r="N954" s="23"/>
      <c r="O954" s="23"/>
      <c r="P954" s="23"/>
      <c r="Q954" s="23"/>
      <c r="R954" s="23"/>
      <c r="S954" s="23"/>
      <c r="T954" s="23"/>
      <c r="U954" s="96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ht="15.7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96"/>
      <c r="M955" s="23"/>
      <c r="N955" s="23"/>
      <c r="O955" s="23"/>
      <c r="P955" s="23"/>
      <c r="Q955" s="23"/>
      <c r="R955" s="23"/>
      <c r="S955" s="23"/>
      <c r="T955" s="23"/>
      <c r="U955" s="96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ht="15.7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96"/>
      <c r="M956" s="23"/>
      <c r="N956" s="23"/>
      <c r="O956" s="23"/>
      <c r="P956" s="23"/>
      <c r="Q956" s="23"/>
      <c r="R956" s="23"/>
      <c r="S956" s="23"/>
      <c r="T956" s="23"/>
      <c r="U956" s="96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ht="15.7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96"/>
      <c r="M957" s="23"/>
      <c r="N957" s="23"/>
      <c r="O957" s="23"/>
      <c r="P957" s="23"/>
      <c r="Q957" s="23"/>
      <c r="R957" s="23"/>
      <c r="S957" s="23"/>
      <c r="T957" s="23"/>
      <c r="U957" s="96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ht="15.7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96"/>
      <c r="M958" s="23"/>
      <c r="N958" s="23"/>
      <c r="O958" s="23"/>
      <c r="P958" s="23"/>
      <c r="Q958" s="23"/>
      <c r="R958" s="23"/>
      <c r="S958" s="23"/>
      <c r="T958" s="23"/>
      <c r="U958" s="96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ht="15.7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96"/>
      <c r="M959" s="23"/>
      <c r="N959" s="23"/>
      <c r="O959" s="23"/>
      <c r="P959" s="23"/>
      <c r="Q959" s="23"/>
      <c r="R959" s="23"/>
      <c r="S959" s="23"/>
      <c r="T959" s="23"/>
      <c r="U959" s="96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ht="15.7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96"/>
      <c r="M960" s="23"/>
      <c r="N960" s="23"/>
      <c r="O960" s="23"/>
      <c r="P960" s="23"/>
      <c r="Q960" s="23"/>
      <c r="R960" s="23"/>
      <c r="S960" s="23"/>
      <c r="T960" s="23"/>
      <c r="U960" s="96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ht="15.7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96"/>
      <c r="M961" s="23"/>
      <c r="N961" s="23"/>
      <c r="O961" s="23"/>
      <c r="P961" s="23"/>
      <c r="Q961" s="23"/>
      <c r="R961" s="23"/>
      <c r="S961" s="23"/>
      <c r="T961" s="23"/>
      <c r="U961" s="96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ht="15.7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96"/>
      <c r="M962" s="23"/>
      <c r="N962" s="23"/>
      <c r="O962" s="23"/>
      <c r="P962" s="23"/>
      <c r="Q962" s="23"/>
      <c r="R962" s="23"/>
      <c r="S962" s="23"/>
      <c r="T962" s="23"/>
      <c r="U962" s="96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ht="15.7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96"/>
      <c r="M963" s="23"/>
      <c r="N963" s="23"/>
      <c r="O963" s="23"/>
      <c r="P963" s="23"/>
      <c r="Q963" s="23"/>
      <c r="R963" s="23"/>
      <c r="S963" s="23"/>
      <c r="T963" s="23"/>
      <c r="U963" s="96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ht="15.7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96"/>
      <c r="M964" s="23"/>
      <c r="N964" s="23"/>
      <c r="O964" s="23"/>
      <c r="P964" s="23"/>
      <c r="Q964" s="23"/>
      <c r="R964" s="23"/>
      <c r="S964" s="23"/>
      <c r="T964" s="23"/>
      <c r="U964" s="96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ht="15.7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96"/>
      <c r="M965" s="23"/>
      <c r="N965" s="23"/>
      <c r="O965" s="23"/>
      <c r="P965" s="23"/>
      <c r="Q965" s="23"/>
      <c r="R965" s="23"/>
      <c r="S965" s="23"/>
      <c r="T965" s="23"/>
      <c r="U965" s="96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ht="15.7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96"/>
      <c r="M966" s="23"/>
      <c r="N966" s="23"/>
      <c r="O966" s="23"/>
      <c r="P966" s="23"/>
      <c r="Q966" s="23"/>
      <c r="R966" s="23"/>
      <c r="S966" s="23"/>
      <c r="T966" s="23"/>
      <c r="U966" s="96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ht="15.7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96"/>
      <c r="M967" s="23"/>
      <c r="N967" s="23"/>
      <c r="O967" s="23"/>
      <c r="P967" s="23"/>
      <c r="Q967" s="23"/>
      <c r="R967" s="23"/>
      <c r="S967" s="23"/>
      <c r="T967" s="23"/>
      <c r="U967" s="96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ht="15.7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96"/>
      <c r="M968" s="23"/>
      <c r="N968" s="23"/>
      <c r="O968" s="23"/>
      <c r="P968" s="23"/>
      <c r="Q968" s="23"/>
      <c r="R968" s="23"/>
      <c r="S968" s="23"/>
      <c r="T968" s="23"/>
      <c r="U968" s="96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ht="15.7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96"/>
      <c r="M969" s="23"/>
      <c r="N969" s="23"/>
      <c r="O969" s="23"/>
      <c r="P969" s="23"/>
      <c r="Q969" s="23"/>
      <c r="R969" s="23"/>
      <c r="S969" s="23"/>
      <c r="T969" s="23"/>
      <c r="U969" s="96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ht="15.7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96"/>
      <c r="M970" s="23"/>
      <c r="N970" s="23"/>
      <c r="O970" s="23"/>
      <c r="P970" s="23"/>
      <c r="Q970" s="23"/>
      <c r="R970" s="23"/>
      <c r="S970" s="23"/>
      <c r="T970" s="23"/>
      <c r="U970" s="96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ht="15.7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96"/>
      <c r="M971" s="23"/>
      <c r="N971" s="23"/>
      <c r="O971" s="23"/>
      <c r="P971" s="23"/>
      <c r="Q971" s="23"/>
      <c r="R971" s="23"/>
      <c r="S971" s="23"/>
      <c r="T971" s="23"/>
      <c r="U971" s="96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ht="15.7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96"/>
      <c r="M972" s="23"/>
      <c r="N972" s="23"/>
      <c r="O972" s="23"/>
      <c r="P972" s="23"/>
      <c r="Q972" s="23"/>
      <c r="R972" s="23"/>
      <c r="S972" s="23"/>
      <c r="T972" s="23"/>
      <c r="U972" s="96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ht="15.7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96"/>
      <c r="M973" s="23"/>
      <c r="N973" s="23"/>
      <c r="O973" s="23"/>
      <c r="P973" s="23"/>
      <c r="Q973" s="23"/>
      <c r="R973" s="23"/>
      <c r="S973" s="23"/>
      <c r="T973" s="23"/>
      <c r="U973" s="96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ht="15.7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96"/>
      <c r="M974" s="23"/>
      <c r="N974" s="23"/>
      <c r="O974" s="23"/>
      <c r="P974" s="23"/>
      <c r="Q974" s="23"/>
      <c r="R974" s="23"/>
      <c r="S974" s="23"/>
      <c r="T974" s="23"/>
      <c r="U974" s="96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ht="15.7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96"/>
      <c r="M975" s="23"/>
      <c r="N975" s="23"/>
      <c r="O975" s="23"/>
      <c r="P975" s="23"/>
      <c r="Q975" s="23"/>
      <c r="R975" s="23"/>
      <c r="S975" s="23"/>
      <c r="T975" s="23"/>
      <c r="U975" s="96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ht="15.7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96"/>
      <c r="M976" s="23"/>
      <c r="N976" s="23"/>
      <c r="O976" s="23"/>
      <c r="P976" s="23"/>
      <c r="Q976" s="23"/>
      <c r="R976" s="23"/>
      <c r="S976" s="23"/>
      <c r="T976" s="23"/>
      <c r="U976" s="96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ht="15.7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96"/>
      <c r="M977" s="23"/>
      <c r="N977" s="23"/>
      <c r="O977" s="23"/>
      <c r="P977" s="23"/>
      <c r="Q977" s="23"/>
      <c r="R977" s="23"/>
      <c r="S977" s="23"/>
      <c r="T977" s="23"/>
      <c r="U977" s="96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ht="15.7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96"/>
      <c r="M978" s="23"/>
      <c r="N978" s="23"/>
      <c r="O978" s="23"/>
      <c r="P978" s="23"/>
      <c r="Q978" s="23"/>
      <c r="R978" s="23"/>
      <c r="S978" s="23"/>
      <c r="T978" s="23"/>
      <c r="U978" s="96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ht="15.7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96"/>
      <c r="M979" s="23"/>
      <c r="N979" s="23"/>
      <c r="O979" s="23"/>
      <c r="P979" s="23"/>
      <c r="Q979" s="23"/>
      <c r="R979" s="23"/>
      <c r="S979" s="23"/>
      <c r="T979" s="23"/>
      <c r="U979" s="96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ht="15.7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96"/>
      <c r="M980" s="23"/>
      <c r="N980" s="23"/>
      <c r="O980" s="23"/>
      <c r="P980" s="23"/>
      <c r="Q980" s="23"/>
      <c r="R980" s="23"/>
      <c r="S980" s="23"/>
      <c r="T980" s="23"/>
      <c r="U980" s="96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ht="15.7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96"/>
      <c r="M981" s="23"/>
      <c r="N981" s="23"/>
      <c r="O981" s="23"/>
      <c r="P981" s="23"/>
      <c r="Q981" s="23"/>
      <c r="R981" s="23"/>
      <c r="S981" s="23"/>
      <c r="T981" s="23"/>
      <c r="U981" s="96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ht="15.7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96"/>
      <c r="M982" s="23"/>
      <c r="N982" s="23"/>
      <c r="O982" s="23"/>
      <c r="P982" s="23"/>
      <c r="Q982" s="23"/>
      <c r="R982" s="23"/>
      <c r="S982" s="23"/>
      <c r="T982" s="23"/>
      <c r="U982" s="96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ht="15.7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96"/>
      <c r="M983" s="23"/>
      <c r="N983" s="23"/>
      <c r="O983" s="23"/>
      <c r="P983" s="23"/>
      <c r="Q983" s="23"/>
      <c r="R983" s="23"/>
      <c r="S983" s="23"/>
      <c r="T983" s="23"/>
      <c r="U983" s="96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ht="15.7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96"/>
      <c r="M984" s="23"/>
      <c r="N984" s="23"/>
      <c r="O984" s="23"/>
      <c r="P984" s="23"/>
      <c r="Q984" s="23"/>
      <c r="R984" s="23"/>
      <c r="S984" s="23"/>
      <c r="T984" s="23"/>
      <c r="U984" s="96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ht="15.7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96"/>
      <c r="M985" s="23"/>
      <c r="N985" s="23"/>
      <c r="O985" s="23"/>
      <c r="P985" s="23"/>
      <c r="Q985" s="23"/>
      <c r="R985" s="23"/>
      <c r="S985" s="23"/>
      <c r="T985" s="23"/>
      <c r="U985" s="96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ht="15.7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96"/>
      <c r="M986" s="23"/>
      <c r="N986" s="23"/>
      <c r="O986" s="23"/>
      <c r="P986" s="23"/>
      <c r="Q986" s="23"/>
      <c r="R986" s="23"/>
      <c r="S986" s="23"/>
      <c r="T986" s="23"/>
      <c r="U986" s="96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ht="15.7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96"/>
      <c r="M987" s="23"/>
      <c r="N987" s="23"/>
      <c r="O987" s="23"/>
      <c r="P987" s="23"/>
      <c r="Q987" s="23"/>
      <c r="R987" s="23"/>
      <c r="S987" s="23"/>
      <c r="T987" s="23"/>
      <c r="U987" s="96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ht="15.7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96"/>
      <c r="M988" s="23"/>
      <c r="N988" s="23"/>
      <c r="O988" s="23"/>
      <c r="P988" s="23"/>
      <c r="Q988" s="23"/>
      <c r="R988" s="23"/>
      <c r="S988" s="23"/>
      <c r="T988" s="23"/>
      <c r="U988" s="96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ht="15.7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96"/>
      <c r="M989" s="23"/>
      <c r="N989" s="23"/>
      <c r="O989" s="23"/>
      <c r="P989" s="23"/>
      <c r="Q989" s="23"/>
      <c r="R989" s="23"/>
      <c r="S989" s="23"/>
      <c r="T989" s="23"/>
      <c r="U989" s="96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ht="15.7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96"/>
      <c r="M990" s="23"/>
      <c r="N990" s="23"/>
      <c r="O990" s="23"/>
      <c r="P990" s="23"/>
      <c r="Q990" s="23"/>
      <c r="R990" s="23"/>
      <c r="S990" s="23"/>
      <c r="T990" s="23"/>
      <c r="U990" s="96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ht="15.7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96"/>
      <c r="M991" s="23"/>
      <c r="N991" s="23"/>
      <c r="O991" s="23"/>
      <c r="P991" s="23"/>
      <c r="Q991" s="23"/>
      <c r="R991" s="23"/>
      <c r="S991" s="23"/>
      <c r="T991" s="23"/>
      <c r="U991" s="96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ht="15.7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96"/>
      <c r="M992" s="23"/>
      <c r="N992" s="23"/>
      <c r="O992" s="23"/>
      <c r="P992" s="23"/>
      <c r="Q992" s="23"/>
      <c r="R992" s="23"/>
      <c r="S992" s="23"/>
      <c r="T992" s="23"/>
      <c r="U992" s="96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ht="15.7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96"/>
      <c r="M993" s="23"/>
      <c r="N993" s="23"/>
      <c r="O993" s="23"/>
      <c r="P993" s="23"/>
      <c r="Q993" s="23"/>
      <c r="R993" s="23"/>
      <c r="S993" s="23"/>
      <c r="T993" s="23"/>
      <c r="U993" s="96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ht="15.7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96"/>
      <c r="M994" s="23"/>
      <c r="N994" s="23"/>
      <c r="O994" s="23"/>
      <c r="P994" s="23"/>
      <c r="Q994" s="23"/>
      <c r="R994" s="23"/>
      <c r="S994" s="23"/>
      <c r="T994" s="23"/>
      <c r="U994" s="96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ht="15.7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96"/>
      <c r="M995" s="23"/>
      <c r="N995" s="23"/>
      <c r="O995" s="23"/>
      <c r="P995" s="23"/>
      <c r="Q995" s="23"/>
      <c r="R995" s="23"/>
      <c r="S995" s="23"/>
      <c r="T995" s="23"/>
      <c r="U995" s="96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ht="15.7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96"/>
      <c r="M996" s="23"/>
      <c r="N996" s="23"/>
      <c r="O996" s="23"/>
      <c r="P996" s="23"/>
      <c r="Q996" s="23"/>
      <c r="R996" s="23"/>
      <c r="S996" s="23"/>
      <c r="T996" s="23"/>
      <c r="U996" s="96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ht="15.7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96"/>
      <c r="M997" s="23"/>
      <c r="N997" s="23"/>
      <c r="O997" s="23"/>
      <c r="P997" s="23"/>
      <c r="Q997" s="23"/>
      <c r="R997" s="23"/>
      <c r="S997" s="23"/>
      <c r="T997" s="23"/>
      <c r="U997" s="96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ht="15.7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96"/>
      <c r="M998" s="23"/>
      <c r="N998" s="23"/>
      <c r="O998" s="23"/>
      <c r="P998" s="23"/>
      <c r="Q998" s="23"/>
      <c r="R998" s="23"/>
      <c r="S998" s="23"/>
      <c r="T998" s="23"/>
      <c r="U998" s="96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ht="15.7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96"/>
      <c r="M999" s="23"/>
      <c r="N999" s="23"/>
      <c r="O999" s="23"/>
      <c r="P999" s="23"/>
      <c r="Q999" s="23"/>
      <c r="R999" s="23"/>
      <c r="S999" s="23"/>
      <c r="T999" s="23"/>
      <c r="U999" s="96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ht="15.75" customHeight="1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96"/>
      <c r="M1000" s="23"/>
      <c r="N1000" s="23"/>
      <c r="O1000" s="23"/>
      <c r="P1000" s="23"/>
      <c r="Q1000" s="23"/>
      <c r="R1000" s="23"/>
      <c r="S1000" s="23"/>
      <c r="T1000" s="23"/>
      <c r="U1000" s="96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  <row r="1001" spans="1:37" ht="15.75" customHeight="1" x14ac:dyDescent="0.3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96"/>
      <c r="M1001" s="23"/>
      <c r="N1001" s="23"/>
      <c r="O1001" s="23"/>
      <c r="P1001" s="23"/>
      <c r="Q1001" s="23"/>
      <c r="R1001" s="23"/>
      <c r="S1001" s="23"/>
      <c r="T1001" s="23"/>
      <c r="U1001" s="96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</row>
    <row r="1002" spans="1:37" ht="15.75" customHeight="1" x14ac:dyDescent="0.3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96"/>
      <c r="M1002" s="23"/>
      <c r="N1002" s="23"/>
      <c r="O1002" s="23"/>
      <c r="P1002" s="23"/>
      <c r="Q1002" s="23"/>
      <c r="R1002" s="23"/>
      <c r="S1002" s="23"/>
      <c r="T1002" s="23"/>
      <c r="U1002" s="96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</row>
    <row r="1003" spans="1:37" ht="15.75" customHeight="1" x14ac:dyDescent="0.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96"/>
      <c r="M1003" s="23"/>
      <c r="N1003" s="23"/>
      <c r="O1003" s="23"/>
      <c r="P1003" s="23"/>
      <c r="Q1003" s="23"/>
      <c r="R1003" s="23"/>
      <c r="S1003" s="23"/>
      <c r="T1003" s="23"/>
      <c r="U1003" s="96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</row>
    <row r="1004" spans="1:37" ht="15.75" customHeight="1" x14ac:dyDescent="0.3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96"/>
      <c r="M1004" s="23"/>
      <c r="N1004" s="23"/>
      <c r="O1004" s="23"/>
      <c r="P1004" s="23"/>
      <c r="Q1004" s="23"/>
      <c r="R1004" s="23"/>
      <c r="S1004" s="23"/>
      <c r="T1004" s="23"/>
      <c r="U1004" s="96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</row>
    <row r="1005" spans="1:37" ht="15.75" customHeight="1" x14ac:dyDescent="0.3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96"/>
      <c r="M1005" s="23"/>
      <c r="N1005" s="23"/>
      <c r="O1005" s="23"/>
      <c r="P1005" s="23"/>
      <c r="Q1005" s="23"/>
      <c r="R1005" s="23"/>
      <c r="S1005" s="23"/>
      <c r="T1005" s="23"/>
      <c r="U1005" s="96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</row>
    <row r="1006" spans="1:37" ht="15.75" customHeight="1" x14ac:dyDescent="0.3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96"/>
      <c r="M1006" s="23"/>
      <c r="N1006" s="23"/>
      <c r="O1006" s="23"/>
      <c r="P1006" s="23"/>
      <c r="Q1006" s="23"/>
      <c r="R1006" s="23"/>
      <c r="S1006" s="23"/>
      <c r="T1006" s="23"/>
      <c r="U1006" s="96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</row>
    <row r="1007" spans="1:37" ht="15.75" customHeight="1" x14ac:dyDescent="0.3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96"/>
      <c r="M1007" s="23"/>
      <c r="N1007" s="23"/>
      <c r="O1007" s="23"/>
      <c r="P1007" s="23"/>
      <c r="Q1007" s="23"/>
      <c r="R1007" s="23"/>
      <c r="S1007" s="23"/>
      <c r="T1007" s="23"/>
      <c r="U1007" s="96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</row>
    <row r="1008" spans="1:37" ht="15.75" customHeight="1" x14ac:dyDescent="0.3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96"/>
      <c r="M1008" s="23"/>
      <c r="N1008" s="23"/>
      <c r="O1008" s="23"/>
      <c r="P1008" s="23"/>
      <c r="Q1008" s="23"/>
      <c r="R1008" s="23"/>
      <c r="S1008" s="23"/>
      <c r="T1008" s="23"/>
      <c r="U1008" s="96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</row>
  </sheetData>
  <mergeCells count="28">
    <mergeCell ref="B11:C11"/>
    <mergeCell ref="D7:E7"/>
    <mergeCell ref="D8:E8"/>
    <mergeCell ref="H31:H40"/>
    <mergeCell ref="H46:H55"/>
    <mergeCell ref="D2:E2"/>
    <mergeCell ref="B3:B4"/>
    <mergeCell ref="D3:E3"/>
    <mergeCell ref="D4:E4"/>
    <mergeCell ref="B5:B10"/>
    <mergeCell ref="D5:G5"/>
    <mergeCell ref="D6:E6"/>
    <mergeCell ref="Q76:Q82"/>
    <mergeCell ref="Z76:Z80"/>
    <mergeCell ref="D9:E9"/>
    <mergeCell ref="D10:E10"/>
    <mergeCell ref="H14:I14"/>
    <mergeCell ref="H16:H25"/>
    <mergeCell ref="Q16:Q22"/>
    <mergeCell ref="Z16:Z20"/>
    <mergeCell ref="Z31:Z35"/>
    <mergeCell ref="Q31:Q37"/>
    <mergeCell ref="Q46:Q52"/>
    <mergeCell ref="Z46:Z50"/>
    <mergeCell ref="Q61:Q67"/>
    <mergeCell ref="Z61:Z65"/>
    <mergeCell ref="H76:H85"/>
    <mergeCell ref="H61:H70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K172"/>
  <sheetViews>
    <sheetView zoomScale="72" zoomScaleNormal="150" workbookViewId="0">
      <selection activeCell="G4" sqref="G4"/>
    </sheetView>
  </sheetViews>
  <sheetFormatPr defaultColWidth="14.44140625" defaultRowHeight="15" customHeight="1" x14ac:dyDescent="0.3"/>
  <cols>
    <col min="1" max="1" width="8.109375" customWidth="1"/>
    <col min="2" max="2" width="30.44140625" customWidth="1"/>
    <col min="3" max="3" width="20.88671875" customWidth="1"/>
    <col min="4" max="4" width="15.88671875" customWidth="1"/>
    <col min="5" max="5" width="15.109375" customWidth="1"/>
    <col min="6" max="6" width="18.88671875" customWidth="1"/>
    <col min="7" max="7" width="17.88671875" customWidth="1"/>
    <col min="8" max="8" width="16.33203125" customWidth="1"/>
    <col min="9" max="9" width="15.88671875" customWidth="1"/>
    <col min="10" max="10" width="18.33203125" customWidth="1"/>
    <col min="11" max="11" width="17.88671875" customWidth="1"/>
    <col min="12" max="12" width="21.6640625" customWidth="1"/>
    <col min="13" max="13" width="19.44140625" customWidth="1"/>
    <col min="14" max="14" width="16" customWidth="1"/>
    <col min="15" max="15" width="12.6640625" customWidth="1"/>
    <col min="16" max="16" width="18.33203125" customWidth="1"/>
    <col min="17" max="17" width="11.44140625" customWidth="1"/>
    <col min="18" max="18" width="11.88671875" customWidth="1"/>
    <col min="19" max="19" width="10.109375" customWidth="1"/>
    <col min="20" max="20" width="12.44140625" customWidth="1"/>
    <col min="21" max="21" width="14.88671875" customWidth="1"/>
    <col min="22" max="22" width="12.33203125" customWidth="1"/>
    <col min="23" max="23" width="10.109375" customWidth="1"/>
    <col min="24" max="24" width="17.109375" customWidth="1"/>
    <col min="26" max="26" width="20.88671875" customWidth="1"/>
    <col min="28" max="28" width="10.88671875" customWidth="1"/>
    <col min="29" max="29" width="13" customWidth="1"/>
    <col min="30" max="30" width="13.44140625" customWidth="1"/>
    <col min="31" max="31" width="12.88671875" customWidth="1"/>
    <col min="32" max="32" width="13" customWidth="1"/>
    <col min="33" max="33" width="12.6640625" customWidth="1"/>
    <col min="34" max="34" width="10.88671875" customWidth="1"/>
  </cols>
  <sheetData>
    <row r="2" spans="2:34" ht="15" customHeight="1" x14ac:dyDescent="0.3">
      <c r="B2" s="227" t="s">
        <v>665</v>
      </c>
    </row>
    <row r="4" spans="2:34" ht="30.75" customHeight="1" x14ac:dyDescent="0.3">
      <c r="B4" s="154" t="s">
        <v>577</v>
      </c>
      <c r="C4" s="120">
        <v>52.142899999999997</v>
      </c>
    </row>
    <row r="5" spans="2:34" ht="62.1" customHeight="1" x14ac:dyDescent="0.3">
      <c r="B5" s="154" t="s">
        <v>631</v>
      </c>
      <c r="C5" s="159">
        <v>0.15</v>
      </c>
    </row>
    <row r="6" spans="2:34" ht="30.75" customHeight="1" x14ac:dyDescent="0.3">
      <c r="B6" s="154"/>
      <c r="C6" s="120"/>
      <c r="N6" s="131" t="s">
        <v>626</v>
      </c>
      <c r="O6" s="131" t="s">
        <v>651</v>
      </c>
    </row>
    <row r="7" spans="2:34" ht="15" customHeight="1" x14ac:dyDescent="0.3">
      <c r="C7" s="121"/>
      <c r="D7" s="26" t="s">
        <v>102</v>
      </c>
      <c r="E7" s="25" t="s">
        <v>103</v>
      </c>
      <c r="F7" s="25" t="s">
        <v>104</v>
      </c>
      <c r="M7" s="131" t="s">
        <v>102</v>
      </c>
      <c r="N7" s="131" t="s">
        <v>649</v>
      </c>
    </row>
    <row r="8" spans="2:34" ht="30" customHeight="1" x14ac:dyDescent="0.3">
      <c r="B8" s="153" t="s">
        <v>578</v>
      </c>
      <c r="C8" s="123" t="s">
        <v>18</v>
      </c>
      <c r="D8" s="23">
        <v>2.5</v>
      </c>
      <c r="E8" s="23">
        <v>3.3</v>
      </c>
      <c r="F8" s="23">
        <v>2.5</v>
      </c>
      <c r="M8" s="131" t="s">
        <v>103</v>
      </c>
      <c r="N8" s="131" t="s">
        <v>650</v>
      </c>
    </row>
    <row r="9" spans="2:34" ht="30" customHeight="1" x14ac:dyDescent="0.3">
      <c r="B9" s="205" t="s">
        <v>579</v>
      </c>
      <c r="C9" s="206"/>
      <c r="D9" s="124">
        <f>'Monday Est.'!E26</f>
        <v>15</v>
      </c>
      <c r="E9" s="125">
        <f>'Monday Est.'!N23</f>
        <v>18.5</v>
      </c>
      <c r="F9" s="126">
        <f>'Monday Est.'!W21</f>
        <v>12</v>
      </c>
      <c r="G9" s="23"/>
      <c r="M9" s="131" t="s">
        <v>104</v>
      </c>
      <c r="N9" s="131" t="s">
        <v>648</v>
      </c>
    </row>
    <row r="10" spans="2:34" ht="15.9" customHeight="1" x14ac:dyDescent="0.3">
      <c r="B10" s="122"/>
      <c r="C10" s="121"/>
      <c r="D10" s="27"/>
      <c r="F10" s="23"/>
      <c r="G10" s="23"/>
    </row>
    <row r="12" spans="2:34" ht="15" customHeight="1" x14ac:dyDescent="0.3">
      <c r="C12" s="127" t="s">
        <v>580</v>
      </c>
    </row>
    <row r="13" spans="2:34" ht="15" customHeight="1" x14ac:dyDescent="0.3">
      <c r="B13" s="207" t="s">
        <v>580</v>
      </c>
      <c r="C13" s="128" t="s">
        <v>581</v>
      </c>
      <c r="D13" s="127" t="s">
        <v>184</v>
      </c>
      <c r="E13" s="127" t="s">
        <v>582</v>
      </c>
      <c r="F13" s="127" t="s">
        <v>192</v>
      </c>
      <c r="G13" s="127" t="s">
        <v>196</v>
      </c>
      <c r="H13" s="127" t="s">
        <v>200</v>
      </c>
      <c r="I13" s="127" t="s">
        <v>583</v>
      </c>
      <c r="J13" s="127" t="s">
        <v>206</v>
      </c>
      <c r="K13" s="127" t="s">
        <v>615</v>
      </c>
      <c r="L13" s="127" t="s">
        <v>647</v>
      </c>
      <c r="P13" s="128" t="s">
        <v>584</v>
      </c>
      <c r="Q13" s="127" t="s">
        <v>184</v>
      </c>
      <c r="R13" s="127" t="s">
        <v>582</v>
      </c>
      <c r="S13" s="127" t="s">
        <v>192</v>
      </c>
      <c r="T13" s="127" t="s">
        <v>196</v>
      </c>
      <c r="U13" s="127" t="s">
        <v>200</v>
      </c>
      <c r="V13" s="127" t="s">
        <v>583</v>
      </c>
      <c r="W13" s="127" t="s">
        <v>206</v>
      </c>
      <c r="X13" s="127"/>
      <c r="AA13" s="128" t="s">
        <v>585</v>
      </c>
      <c r="AB13" s="127" t="s">
        <v>184</v>
      </c>
      <c r="AC13" s="127" t="s">
        <v>582</v>
      </c>
      <c r="AD13" s="127" t="s">
        <v>192</v>
      </c>
      <c r="AE13" s="127" t="s">
        <v>196</v>
      </c>
      <c r="AF13" s="127" t="s">
        <v>200</v>
      </c>
      <c r="AG13" s="127" t="s">
        <v>583</v>
      </c>
      <c r="AH13" s="127" t="s">
        <v>206</v>
      </c>
    </row>
    <row r="14" spans="2:34" ht="15" customHeight="1" x14ac:dyDescent="0.3">
      <c r="B14" s="176"/>
      <c r="C14" s="29" t="s">
        <v>111</v>
      </c>
      <c r="D14" s="121">
        <f>'Monday Est.'!D6</f>
        <v>44</v>
      </c>
      <c r="E14" s="121">
        <f>'Tuesday Est.'!D6</f>
        <v>53</v>
      </c>
      <c r="F14" s="121">
        <f>'Wednesday Est.'!D6</f>
        <v>50</v>
      </c>
      <c r="G14" s="121">
        <f>'Thursday Est.'!D6</f>
        <v>50</v>
      </c>
      <c r="H14" s="121">
        <f>'Friday Est'!D6</f>
        <v>39</v>
      </c>
      <c r="I14" s="121">
        <f>'Saturday Est.'!D6</f>
        <v>34</v>
      </c>
      <c r="J14" s="166">
        <f>'Sunday Est.'!D6</f>
        <v>29</v>
      </c>
      <c r="K14" s="130">
        <f t="shared" ref="K14:K18" si="0">AVERAGE(D14:H14)</f>
        <v>47.2</v>
      </c>
      <c r="L14" s="130">
        <f>AVERAGE(I14:J14)</f>
        <v>31.5</v>
      </c>
      <c r="P14" s="29" t="s">
        <v>111</v>
      </c>
      <c r="Q14" s="121">
        <f>'Monday Est.'!F6</f>
        <v>19</v>
      </c>
      <c r="R14" s="121">
        <f>'Tuesday Est.'!F6</f>
        <v>17</v>
      </c>
      <c r="S14" s="121">
        <f>'Wednesday Est.'!F6</f>
        <v>17</v>
      </c>
      <c r="T14" s="121">
        <f>'Thursday Est.'!F6</f>
        <v>14</v>
      </c>
      <c r="U14" s="121">
        <f>'Friday Est'!F6</f>
        <v>14</v>
      </c>
      <c r="V14" s="121">
        <f>'Saturday Est.'!F6</f>
        <v>14</v>
      </c>
      <c r="W14" s="121">
        <f>'Sunday Est.'!F6</f>
        <v>13</v>
      </c>
      <c r="X14" s="121"/>
      <c r="AA14" s="29" t="s">
        <v>111</v>
      </c>
      <c r="AB14" s="121">
        <f>'Monday Est.'!G6</f>
        <v>13</v>
      </c>
      <c r="AC14" s="121">
        <f>'Tuesday Est.'!G6</f>
        <v>13</v>
      </c>
      <c r="AD14" s="121">
        <f>'Wednesday Est.'!G6</f>
        <v>11</v>
      </c>
      <c r="AE14" s="121">
        <f>'Thursday Est.'!G6</f>
        <v>11</v>
      </c>
      <c r="AF14" s="121">
        <f>'Friday Est'!G6</f>
        <v>8</v>
      </c>
      <c r="AG14" s="121">
        <f>'Saturday Est.'!G6</f>
        <v>12</v>
      </c>
      <c r="AH14" s="121">
        <f>'Sunday Est.'!G6</f>
        <v>8</v>
      </c>
    </row>
    <row r="15" spans="2:34" ht="15" customHeight="1" x14ac:dyDescent="0.3">
      <c r="B15" s="176"/>
      <c r="C15" s="29" t="s">
        <v>112</v>
      </c>
      <c r="D15" s="121">
        <f>'Monday Est.'!D7</f>
        <v>213</v>
      </c>
      <c r="E15" s="121">
        <f>'Tuesday Est.'!D7</f>
        <v>209</v>
      </c>
      <c r="F15" s="121">
        <f>'Wednesday Est.'!D7</f>
        <v>211</v>
      </c>
      <c r="G15" s="121">
        <f>'Thursday Est.'!D7</f>
        <v>211</v>
      </c>
      <c r="H15" s="121">
        <f>'Friday Est'!D7</f>
        <v>158</v>
      </c>
      <c r="I15" s="121">
        <f>'Saturday Est.'!D7</f>
        <v>95</v>
      </c>
      <c r="J15" s="121">
        <f>'Sunday Est.'!D7</f>
        <v>49</v>
      </c>
      <c r="K15" s="130">
        <f t="shared" si="0"/>
        <v>200.4</v>
      </c>
      <c r="L15" s="130">
        <f t="shared" ref="L15:L18" si="1">AVERAGE(I15:J15)</f>
        <v>72</v>
      </c>
      <c r="P15" s="29" t="s">
        <v>112</v>
      </c>
      <c r="Q15" s="121">
        <f>'Monday Est.'!F7</f>
        <v>78</v>
      </c>
      <c r="R15" s="121">
        <f>'Tuesday Est.'!F7</f>
        <v>76</v>
      </c>
      <c r="S15" s="121">
        <f>'Wednesday Est.'!F7</f>
        <v>77</v>
      </c>
      <c r="T15" s="121">
        <f>'Thursday Est.'!F7</f>
        <v>74</v>
      </c>
      <c r="U15" s="121">
        <f>'Friday Est'!F7</f>
        <v>74</v>
      </c>
      <c r="V15" s="121">
        <f>'Saturday Est.'!F7</f>
        <v>49</v>
      </c>
      <c r="W15" s="121">
        <f>'Sunday Est.'!F7</f>
        <v>42</v>
      </c>
      <c r="X15" s="121"/>
      <c r="AA15" s="29" t="s">
        <v>112</v>
      </c>
      <c r="AB15" s="121">
        <f>'Monday Est.'!G7</f>
        <v>65</v>
      </c>
      <c r="AC15" s="121">
        <f>'Tuesday Est.'!G7</f>
        <v>63</v>
      </c>
      <c r="AD15" s="121">
        <f>'Wednesday Est.'!G7</f>
        <v>64</v>
      </c>
      <c r="AE15" s="121">
        <f>'Thursday Est.'!G7</f>
        <v>61</v>
      </c>
      <c r="AF15" s="121">
        <f>'Friday Est'!G7</f>
        <v>54</v>
      </c>
      <c r="AG15" s="121">
        <f>'Saturday Est.'!G7</f>
        <v>41</v>
      </c>
      <c r="AH15" s="121">
        <f>'Sunday Est.'!G7</f>
        <v>32</v>
      </c>
    </row>
    <row r="16" spans="2:34" ht="15" customHeight="1" x14ac:dyDescent="0.3">
      <c r="B16" s="176"/>
      <c r="C16" s="29" t="s">
        <v>113</v>
      </c>
      <c r="D16" s="121">
        <f>'Monday Est.'!D8</f>
        <v>404</v>
      </c>
      <c r="E16" s="121">
        <f>'Tuesday Est.'!D8</f>
        <v>388</v>
      </c>
      <c r="F16" s="121">
        <f>'Wednesday Est.'!D8</f>
        <v>344</v>
      </c>
      <c r="G16" s="121">
        <f>'Thursday Est.'!D8</f>
        <v>344</v>
      </c>
      <c r="H16" s="121">
        <f>'Friday Est'!D8</f>
        <v>254</v>
      </c>
      <c r="I16" s="121">
        <f>'Saturday Est.'!D8</f>
        <v>216</v>
      </c>
      <c r="J16" s="121">
        <f>'Sunday Est.'!D8</f>
        <v>50</v>
      </c>
      <c r="K16" s="130">
        <f t="shared" si="0"/>
        <v>346.8</v>
      </c>
      <c r="L16" s="130">
        <f t="shared" si="1"/>
        <v>133</v>
      </c>
      <c r="P16" s="29" t="s">
        <v>113</v>
      </c>
      <c r="Q16" s="121">
        <f>'Monday Est.'!F8</f>
        <v>91</v>
      </c>
      <c r="R16" s="121">
        <f>'Tuesday Est.'!F8</f>
        <v>86</v>
      </c>
      <c r="S16" s="121">
        <f>'Wednesday Est.'!F8</f>
        <v>87</v>
      </c>
      <c r="T16" s="121">
        <f>'Thursday Est.'!F8</f>
        <v>87</v>
      </c>
      <c r="U16" s="121">
        <f>'Friday Est'!F8</f>
        <v>85</v>
      </c>
      <c r="V16" s="121">
        <f>'Saturday Est.'!F8</f>
        <v>61</v>
      </c>
      <c r="W16" s="121">
        <f>'Sunday Est.'!F8</f>
        <v>52</v>
      </c>
      <c r="X16" s="121"/>
      <c r="AA16" s="29" t="s">
        <v>113</v>
      </c>
      <c r="AB16" s="121">
        <f>'Monday Est.'!G8</f>
        <v>61</v>
      </c>
      <c r="AC16" s="121">
        <f>'Tuesday Est.'!G8</f>
        <v>60</v>
      </c>
      <c r="AD16" s="121">
        <f>'Wednesday Est.'!G8</f>
        <v>56</v>
      </c>
      <c r="AE16" s="121">
        <f>'Thursday Est.'!G8</f>
        <v>52</v>
      </c>
      <c r="AF16" s="121">
        <f>'Friday Est'!G8</f>
        <v>48</v>
      </c>
      <c r="AG16" s="121">
        <f>'Saturday Est.'!G8</f>
        <v>39</v>
      </c>
      <c r="AH16" s="121">
        <f>'Sunday Est.'!G8</f>
        <v>31</v>
      </c>
    </row>
    <row r="17" spans="2:37" ht="15" customHeight="1" x14ac:dyDescent="0.3">
      <c r="B17" s="176"/>
      <c r="C17" s="29" t="s">
        <v>114</v>
      </c>
      <c r="D17" s="121">
        <f>'Monday Est.'!D9</f>
        <v>214</v>
      </c>
      <c r="E17" s="121">
        <f>'Tuesday Est.'!D9</f>
        <v>212</v>
      </c>
      <c r="F17" s="121">
        <f>'Wednesday Est.'!D9</f>
        <v>193</v>
      </c>
      <c r="G17" s="121">
        <f>'Thursday Est.'!D9</f>
        <v>193</v>
      </c>
      <c r="H17" s="121">
        <f>'Friday Est'!D9</f>
        <v>149</v>
      </c>
      <c r="I17" s="121">
        <f>'Saturday Est.'!D9</f>
        <v>58</v>
      </c>
      <c r="J17" s="121">
        <f>'Sunday Est.'!D9</f>
        <v>44</v>
      </c>
      <c r="K17" s="130">
        <f t="shared" si="0"/>
        <v>192.2</v>
      </c>
      <c r="L17" s="130">
        <f t="shared" si="1"/>
        <v>51</v>
      </c>
      <c r="P17" s="29" t="s">
        <v>114</v>
      </c>
      <c r="Q17" s="121">
        <f>'Monday Est.'!F9</f>
        <v>88</v>
      </c>
      <c r="R17" s="121">
        <f>'Tuesday Est.'!F9</f>
        <v>85</v>
      </c>
      <c r="S17" s="121">
        <f>'Wednesday Est.'!F9</f>
        <v>84</v>
      </c>
      <c r="T17" s="121">
        <f>'Thursday Est.'!F9</f>
        <v>84</v>
      </c>
      <c r="U17" s="121">
        <f>'Friday Est'!F9</f>
        <v>83</v>
      </c>
      <c r="V17" s="121">
        <f>'Saturday Est.'!F9</f>
        <v>41</v>
      </c>
      <c r="W17" s="121">
        <f>'Sunday Est.'!F9</f>
        <v>36</v>
      </c>
      <c r="X17" s="121"/>
      <c r="AA17" s="29" t="s">
        <v>114</v>
      </c>
      <c r="AB17" s="121">
        <f>'Monday Est.'!G9</f>
        <v>39</v>
      </c>
      <c r="AC17" s="121">
        <f>'Tuesday Est.'!G9</f>
        <v>39</v>
      </c>
      <c r="AD17" s="121">
        <f>'Wednesday Est.'!G9</f>
        <v>33</v>
      </c>
      <c r="AE17" s="121">
        <f>'Thursday Est.'!G9</f>
        <v>33</v>
      </c>
      <c r="AF17" s="121">
        <f>'Friday Est'!G9</f>
        <v>30</v>
      </c>
      <c r="AG17" s="121">
        <f>'Saturday Est.'!G9</f>
        <v>29</v>
      </c>
      <c r="AH17" s="121">
        <f>'Sunday Est.'!G9</f>
        <v>25</v>
      </c>
    </row>
    <row r="18" spans="2:37" ht="15" customHeight="1" x14ac:dyDescent="0.3">
      <c r="B18" s="176"/>
      <c r="C18" s="29" t="s">
        <v>115</v>
      </c>
      <c r="D18" s="121">
        <f>'Monday Est.'!D10</f>
        <v>190</v>
      </c>
      <c r="E18" s="121">
        <f>'Tuesday Est.'!D10</f>
        <v>185</v>
      </c>
      <c r="F18" s="121">
        <f>'Wednesday Est.'!D10</f>
        <v>179</v>
      </c>
      <c r="G18" s="121">
        <f>'Thursday Est.'!D10</f>
        <v>179</v>
      </c>
      <c r="H18" s="121">
        <f>'Friday Est'!D10</f>
        <v>119</v>
      </c>
      <c r="I18" s="121">
        <f>'Saturday Est.'!D10</f>
        <v>29</v>
      </c>
      <c r="J18" s="121">
        <f>'Sunday Est.'!D10</f>
        <v>25</v>
      </c>
      <c r="K18" s="130">
        <f t="shared" si="0"/>
        <v>170.4</v>
      </c>
      <c r="L18" s="130">
        <f t="shared" si="1"/>
        <v>27</v>
      </c>
      <c r="P18" s="29" t="s">
        <v>115</v>
      </c>
      <c r="Q18" s="121">
        <f>'Monday Est.'!F10</f>
        <v>34</v>
      </c>
      <c r="R18" s="121">
        <f>'Tuesday Est.'!F10</f>
        <v>34</v>
      </c>
      <c r="S18" s="121">
        <f>'Wednesday Est.'!F10</f>
        <v>31</v>
      </c>
      <c r="T18" s="121">
        <f>'Thursday Est.'!F10</f>
        <v>29</v>
      </c>
      <c r="U18" s="121">
        <f>'Friday Est'!F10</f>
        <v>25</v>
      </c>
      <c r="V18" s="121">
        <f>'Saturday Est.'!F10</f>
        <v>21</v>
      </c>
      <c r="W18" s="121">
        <f>'Sunday Est.'!F10</f>
        <v>18</v>
      </c>
      <c r="X18" s="121"/>
      <c r="AA18" s="29" t="s">
        <v>115</v>
      </c>
      <c r="AB18" s="121">
        <f>'Monday Est.'!G10</f>
        <v>31</v>
      </c>
      <c r="AC18" s="121">
        <f>'Tuesday Est.'!G10</f>
        <v>32</v>
      </c>
      <c r="AD18" s="121">
        <f>'Wednesday Est.'!G10</f>
        <v>31</v>
      </c>
      <c r="AE18" s="121">
        <f>'Thursday Est.'!G10</f>
        <v>29</v>
      </c>
      <c r="AF18" s="121">
        <f>'Friday Est'!G10</f>
        <v>25</v>
      </c>
      <c r="AG18" s="121">
        <f>'Saturday Est.'!G10</f>
        <v>21</v>
      </c>
      <c r="AH18" s="121">
        <f>'Sunday Est.'!G10</f>
        <v>18</v>
      </c>
    </row>
    <row r="19" spans="2:37" ht="15" customHeight="1" x14ac:dyDescent="0.3">
      <c r="B19" s="129"/>
      <c r="L19" s="121"/>
    </row>
    <row r="20" spans="2:37" ht="15" customHeight="1" x14ac:dyDescent="0.3">
      <c r="B20" s="129"/>
      <c r="C20" s="5" t="s">
        <v>586</v>
      </c>
    </row>
    <row r="21" spans="2:37" ht="15" customHeight="1" x14ac:dyDescent="0.3">
      <c r="B21" s="204" t="s">
        <v>587</v>
      </c>
      <c r="C21" s="128" t="s">
        <v>581</v>
      </c>
      <c r="D21" s="127" t="s">
        <v>184</v>
      </c>
      <c r="E21" s="127" t="s">
        <v>582</v>
      </c>
      <c r="F21" s="127" t="s">
        <v>192</v>
      </c>
      <c r="G21" s="127" t="s">
        <v>196</v>
      </c>
      <c r="H21" s="127" t="s">
        <v>200</v>
      </c>
      <c r="I21" s="127" t="s">
        <v>583</v>
      </c>
      <c r="J21" s="127" t="s">
        <v>206</v>
      </c>
      <c r="K21" s="142" t="s">
        <v>588</v>
      </c>
      <c r="L21" s="142" t="s">
        <v>652</v>
      </c>
      <c r="M21" s="142" t="s">
        <v>589</v>
      </c>
      <c r="N21" s="142" t="s">
        <v>590</v>
      </c>
      <c r="P21" s="128" t="s">
        <v>584</v>
      </c>
      <c r="Q21" s="127" t="s">
        <v>184</v>
      </c>
      <c r="R21" s="127" t="s">
        <v>582</v>
      </c>
      <c r="S21" s="127" t="s">
        <v>192</v>
      </c>
      <c r="T21" s="127" t="s">
        <v>196</v>
      </c>
      <c r="U21" s="127" t="s">
        <v>200</v>
      </c>
      <c r="V21" s="127" t="s">
        <v>583</v>
      </c>
      <c r="W21" s="127" t="s">
        <v>206</v>
      </c>
      <c r="X21" s="127" t="s">
        <v>591</v>
      </c>
      <c r="Y21" s="127" t="s">
        <v>657</v>
      </c>
      <c r="AA21" s="128" t="s">
        <v>585</v>
      </c>
      <c r="AB21" s="127" t="s">
        <v>184</v>
      </c>
      <c r="AC21" s="127" t="s">
        <v>582</v>
      </c>
      <c r="AD21" s="127" t="s">
        <v>192</v>
      </c>
      <c r="AE21" s="127" t="s">
        <v>196</v>
      </c>
      <c r="AF21" s="127" t="s">
        <v>200</v>
      </c>
      <c r="AG21" s="127" t="s">
        <v>583</v>
      </c>
      <c r="AH21" s="127" t="s">
        <v>206</v>
      </c>
      <c r="AI21" s="127" t="s">
        <v>592</v>
      </c>
      <c r="AJ21" s="127" t="s">
        <v>653</v>
      </c>
    </row>
    <row r="22" spans="2:37" ht="15" customHeight="1" x14ac:dyDescent="0.3">
      <c r="B22" s="176"/>
      <c r="C22" s="29" t="s">
        <v>111</v>
      </c>
      <c r="D22" s="130">
        <f>'Monday Est.'!G26</f>
        <v>42</v>
      </c>
      <c r="E22" s="130">
        <f>'Tuesday Est.'!G26</f>
        <v>40</v>
      </c>
      <c r="F22" s="130">
        <f>'Wednesday Est.'!G26</f>
        <v>37</v>
      </c>
      <c r="G22" s="130">
        <f>'Thursday Est.'!G26</f>
        <v>36</v>
      </c>
      <c r="H22" s="130">
        <f>'Friday Est'!G26</f>
        <v>30</v>
      </c>
      <c r="I22" s="130">
        <f>'Saturday Est.'!G26</f>
        <v>33</v>
      </c>
      <c r="J22" s="165">
        <f>'Sunday Est.'!G26</f>
        <v>25</v>
      </c>
      <c r="K22" s="130">
        <f t="shared" ref="K22:K26" si="2">MIN(D22:J22)</f>
        <v>25</v>
      </c>
      <c r="L22" s="130">
        <f t="shared" ref="L22:L26" si="3">AVERAGE(D22:H22)</f>
        <v>37</v>
      </c>
      <c r="M22" s="131">
        <f t="shared" ref="M22:M26" si="4">L22/K22</f>
        <v>1.48</v>
      </c>
      <c r="N22" s="130">
        <f>L22-K22</f>
        <v>12</v>
      </c>
      <c r="P22" s="29" t="s">
        <v>111</v>
      </c>
      <c r="Q22" s="130">
        <f>'Monday Est.'!P23</f>
        <v>30</v>
      </c>
      <c r="R22" s="130">
        <f>'Tuesday Est.'!P23</f>
        <v>30</v>
      </c>
      <c r="S22" s="130">
        <f>'Wednesday Est.'!P23</f>
        <v>31</v>
      </c>
      <c r="T22" s="130">
        <f>'Thursday Est.'!Q23</f>
        <v>30</v>
      </c>
      <c r="U22" s="130">
        <f>'Friday Est'!P23</f>
        <v>30</v>
      </c>
      <c r="V22" s="130">
        <f>'Saturday Est.'!P23</f>
        <v>30</v>
      </c>
      <c r="W22" s="125">
        <f>'Sunday Est.'!P23</f>
        <v>30</v>
      </c>
      <c r="X22" s="125">
        <f t="shared" ref="X22:X26" si="5">MIN(Q22:W22)</f>
        <v>30</v>
      </c>
      <c r="Y22" s="157">
        <f>AVERAGE(Q22:U22)</f>
        <v>30.2</v>
      </c>
      <c r="AA22" s="29" t="s">
        <v>111</v>
      </c>
      <c r="AB22" s="132">
        <f>'Monday Est.'!Y21</f>
        <v>35</v>
      </c>
      <c r="AC22" s="130">
        <f>'Tuesday Est.'!Y21</f>
        <v>34</v>
      </c>
      <c r="AD22" s="130">
        <f>'Wednesday Est.'!Y21</f>
        <v>34</v>
      </c>
      <c r="AE22" s="130">
        <f>'Thursday Est.'!Z21</f>
        <v>33</v>
      </c>
      <c r="AF22" s="130">
        <f>'Friday Est'!Y21</f>
        <v>32</v>
      </c>
      <c r="AG22" s="130">
        <f>'Saturday Est.'!Y21</f>
        <v>32</v>
      </c>
      <c r="AH22" s="130">
        <f>'Sunday Est.'!Y21</f>
        <v>30</v>
      </c>
      <c r="AI22" s="132">
        <f t="shared" ref="AI22:AI26" si="6">MIN(AB22:AH22)</f>
        <v>30</v>
      </c>
      <c r="AJ22" s="171">
        <f>AVERAGE(AB22:AF22)</f>
        <v>33.6</v>
      </c>
    </row>
    <row r="23" spans="2:37" ht="15" customHeight="1" x14ac:dyDescent="0.3">
      <c r="B23" s="176"/>
      <c r="C23" s="29" t="s">
        <v>112</v>
      </c>
      <c r="D23" s="130">
        <f>'Monday Est.'!G40</f>
        <v>62</v>
      </c>
      <c r="E23" s="130">
        <f>'Tuesday Est.'!G41</f>
        <v>60</v>
      </c>
      <c r="F23" s="130">
        <f>'Wednesday Est.'!G41</f>
        <v>60</v>
      </c>
      <c r="G23" s="130">
        <f>'Thursday Est.'!G41</f>
        <v>55</v>
      </c>
      <c r="H23" s="130">
        <f>'Friday Est'!G41</f>
        <v>49</v>
      </c>
      <c r="I23" s="130">
        <f>'Saturday Est.'!G42</f>
        <v>42</v>
      </c>
      <c r="J23" s="130">
        <f>'Sunday Est.'!G41</f>
        <v>39</v>
      </c>
      <c r="K23" s="130">
        <f t="shared" si="2"/>
        <v>39</v>
      </c>
      <c r="L23" s="130">
        <f t="shared" si="3"/>
        <v>57.2</v>
      </c>
      <c r="M23" s="131">
        <f t="shared" si="4"/>
        <v>1.4666666666666668</v>
      </c>
      <c r="N23" s="130">
        <f t="shared" ref="N23:N26" si="7">L23-K23</f>
        <v>18.200000000000003</v>
      </c>
      <c r="P23" s="29" t="s">
        <v>112</v>
      </c>
      <c r="Q23" s="130">
        <f>'Monday Est.'!P37</f>
        <v>49.5</v>
      </c>
      <c r="R23" s="130">
        <f>'Tuesday Est.'!P38</f>
        <v>51</v>
      </c>
      <c r="S23" s="130">
        <f>'Wednesday Est.'!P38</f>
        <v>40</v>
      </c>
      <c r="T23" s="130">
        <f>'Thursday Est.'!Q38</f>
        <v>47</v>
      </c>
      <c r="U23" s="130">
        <f>'Friday Est'!P38</f>
        <v>44</v>
      </c>
      <c r="V23" s="130">
        <f>'Saturday Est.'!P39</f>
        <v>30</v>
      </c>
      <c r="W23" s="125">
        <f>'Sunday Est.'!P38</f>
        <v>33</v>
      </c>
      <c r="X23" s="125">
        <f t="shared" si="5"/>
        <v>30</v>
      </c>
      <c r="Y23" s="157">
        <f t="shared" ref="Y23:Y26" si="8">AVERAGE(Q23:U23)</f>
        <v>46.3</v>
      </c>
      <c r="AA23" s="29" t="s">
        <v>112</v>
      </c>
      <c r="AB23" s="130">
        <f>'Monday Est.'!Y35</f>
        <v>52</v>
      </c>
      <c r="AC23" s="130">
        <f>'Tuesday Est.'!Y36</f>
        <v>50</v>
      </c>
      <c r="AD23" s="130">
        <f>'Wednesday Est.'!Y36</f>
        <v>50</v>
      </c>
      <c r="AE23" s="130">
        <f>'Thursday Est.'!Z36</f>
        <v>49</v>
      </c>
      <c r="AF23" s="130">
        <f>'Friday Est'!Y36</f>
        <v>47</v>
      </c>
      <c r="AG23" s="130">
        <f>'Saturday Est.'!Y37</f>
        <v>46</v>
      </c>
      <c r="AH23" s="130">
        <f>'Sunday Est.'!Y36</f>
        <v>40</v>
      </c>
      <c r="AI23" s="132">
        <f t="shared" si="6"/>
        <v>40</v>
      </c>
      <c r="AJ23" s="171">
        <f t="shared" ref="AJ23:AJ26" si="9">AVERAGE(AB23:AF23)</f>
        <v>49.6</v>
      </c>
    </row>
    <row r="24" spans="2:37" ht="15" customHeight="1" x14ac:dyDescent="0.3">
      <c r="B24" s="176"/>
      <c r="C24" s="29" t="s">
        <v>113</v>
      </c>
      <c r="D24" s="130">
        <f>'Monday Est.'!G54</f>
        <v>36</v>
      </c>
      <c r="E24" s="130">
        <f>'Tuesday Est.'!G56</f>
        <v>35</v>
      </c>
      <c r="F24" s="130">
        <f>'Wednesday Est.'!G56</f>
        <v>34</v>
      </c>
      <c r="G24" s="130">
        <f>'Thursday Est.'!G56</f>
        <v>31</v>
      </c>
      <c r="H24" s="130">
        <f>'Friday Est'!G56</f>
        <v>33</v>
      </c>
      <c r="I24" s="130">
        <f>'Saturday Est.'!G58</f>
        <v>35</v>
      </c>
      <c r="J24" s="130">
        <f>'Sunday Est.'!G56</f>
        <v>30</v>
      </c>
      <c r="K24" s="130">
        <f t="shared" si="2"/>
        <v>30</v>
      </c>
      <c r="L24" s="130">
        <f t="shared" si="3"/>
        <v>33.799999999999997</v>
      </c>
      <c r="M24" s="131">
        <f t="shared" si="4"/>
        <v>1.1266666666666665</v>
      </c>
      <c r="N24" s="130">
        <f t="shared" si="7"/>
        <v>3.7999999999999972</v>
      </c>
      <c r="P24" s="29" t="s">
        <v>113</v>
      </c>
      <c r="Q24" s="130">
        <f>'Monday Est.'!P51</f>
        <v>35</v>
      </c>
      <c r="R24" s="130">
        <f>'Tuesday Est.'!P53</f>
        <v>31</v>
      </c>
      <c r="S24" s="130">
        <f>'Wednesday Est.'!P53</f>
        <v>30</v>
      </c>
      <c r="T24" s="130">
        <f>'Thursday Est.'!Q53</f>
        <v>30</v>
      </c>
      <c r="U24" s="130">
        <f>'Friday Est'!P53</f>
        <v>30</v>
      </c>
      <c r="V24" s="130">
        <f>'Saturday Est.'!P55</f>
        <v>30</v>
      </c>
      <c r="W24" s="125">
        <f>'Sunday Est.'!P53</f>
        <v>31</v>
      </c>
      <c r="X24" s="125">
        <f t="shared" si="5"/>
        <v>30</v>
      </c>
      <c r="Y24" s="157">
        <f t="shared" si="8"/>
        <v>31.2</v>
      </c>
      <c r="AA24" s="29" t="s">
        <v>113</v>
      </c>
      <c r="AB24" s="130">
        <f>'Monday Est.'!Y49</f>
        <v>35</v>
      </c>
      <c r="AC24" s="130">
        <f>'Tuesday Est.'!Y51</f>
        <v>34</v>
      </c>
      <c r="AD24" s="130">
        <f>'Wednesday Est.'!Y51</f>
        <v>34</v>
      </c>
      <c r="AE24" s="130">
        <f>'Thursday Est.'!Z51</f>
        <v>33</v>
      </c>
      <c r="AF24" s="130">
        <f>'Friday Est'!Y51</f>
        <v>31</v>
      </c>
      <c r="AG24" s="130">
        <f>'Saturday Est.'!Y53</f>
        <v>32</v>
      </c>
      <c r="AH24" s="130">
        <f>'Sunday Est.'!Y51</f>
        <v>31</v>
      </c>
      <c r="AI24" s="132">
        <f t="shared" si="6"/>
        <v>31</v>
      </c>
      <c r="AJ24" s="171">
        <f t="shared" si="9"/>
        <v>33.4</v>
      </c>
    </row>
    <row r="25" spans="2:37" ht="15" customHeight="1" x14ac:dyDescent="0.3">
      <c r="B25" s="176"/>
      <c r="C25" s="29" t="s">
        <v>114</v>
      </c>
      <c r="D25" s="130">
        <f>'Monday Est.'!G69</f>
        <v>66</v>
      </c>
      <c r="E25" s="130">
        <f>'Tuesday Est.'!G71</f>
        <v>63</v>
      </c>
      <c r="F25" s="130">
        <f>'Wednesday Est.'!G71</f>
        <v>61</v>
      </c>
      <c r="G25" s="130">
        <f>'Thursday Est.'!G71</f>
        <v>46</v>
      </c>
      <c r="H25" s="130">
        <f>'Friday Est'!G71</f>
        <v>40</v>
      </c>
      <c r="I25" s="130">
        <f>'Saturday Est.'!G74</f>
        <v>41</v>
      </c>
      <c r="J25" s="130">
        <f>'Sunday Est.'!G71</f>
        <v>35</v>
      </c>
      <c r="K25" s="130">
        <f t="shared" si="2"/>
        <v>35</v>
      </c>
      <c r="L25" s="130">
        <f t="shared" si="3"/>
        <v>55.2</v>
      </c>
      <c r="M25" s="131">
        <f t="shared" si="4"/>
        <v>1.5771428571428572</v>
      </c>
      <c r="N25" s="130">
        <f t="shared" si="7"/>
        <v>20.200000000000003</v>
      </c>
      <c r="P25" s="29" t="s">
        <v>114</v>
      </c>
      <c r="Q25" s="130">
        <f>'Monday Est.'!P66</f>
        <v>48</v>
      </c>
      <c r="R25" s="130">
        <f>'Tuesday Est.'!P68</f>
        <v>41</v>
      </c>
      <c r="S25" s="130">
        <f>'Wednesday Est.'!P68</f>
        <v>46</v>
      </c>
      <c r="T25" s="130">
        <f>'Thursday Est.'!Q68</f>
        <v>45</v>
      </c>
      <c r="U25" s="130">
        <f>'Friday Est'!P68</f>
        <v>39</v>
      </c>
      <c r="V25" s="130">
        <f>'Saturday Est.'!P71</f>
        <v>36</v>
      </c>
      <c r="W25" s="130">
        <f>'Sunday Est.'!P68</f>
        <v>30</v>
      </c>
      <c r="X25" s="125">
        <f t="shared" si="5"/>
        <v>30</v>
      </c>
      <c r="Y25" s="157">
        <f t="shared" si="8"/>
        <v>43.8</v>
      </c>
      <c r="AA25" s="29" t="s">
        <v>114</v>
      </c>
      <c r="AB25" s="130">
        <f>'Monday Est.'!Y64</f>
        <v>60</v>
      </c>
      <c r="AC25" s="130">
        <f>'Tuesday Est.'!Y66</f>
        <v>58</v>
      </c>
      <c r="AD25" s="130">
        <f>'Wednesday Est.'!Y66</f>
        <v>54</v>
      </c>
      <c r="AE25" s="130">
        <f>'Thursday Est.'!Z66</f>
        <v>54</v>
      </c>
      <c r="AF25" s="130">
        <f>'Friday Est'!Y66</f>
        <v>52</v>
      </c>
      <c r="AG25" s="130">
        <f>'Saturday Est.'!Y69</f>
        <v>40</v>
      </c>
      <c r="AH25" s="130">
        <f>'Sunday Est.'!Y66</f>
        <v>30</v>
      </c>
      <c r="AI25" s="132">
        <f t="shared" si="6"/>
        <v>30</v>
      </c>
      <c r="AJ25" s="171">
        <f t="shared" si="9"/>
        <v>55.6</v>
      </c>
    </row>
    <row r="26" spans="2:37" ht="15" customHeight="1" x14ac:dyDescent="0.3">
      <c r="B26" s="176"/>
      <c r="C26" s="29" t="s">
        <v>115</v>
      </c>
      <c r="D26" s="130">
        <f>'Monday Est.'!G83</f>
        <v>56</v>
      </c>
      <c r="E26" s="130">
        <f>'Tuesday Est.'!G86</f>
        <v>51</v>
      </c>
      <c r="F26" s="130">
        <f>'Wednesday Est.'!G86</f>
        <v>44</v>
      </c>
      <c r="G26" s="130">
        <f>'Thursday Est.'!G86</f>
        <v>34</v>
      </c>
      <c r="H26" s="130">
        <f>'Friday Est'!G86</f>
        <v>32</v>
      </c>
      <c r="I26" s="130">
        <f>'Saturday Est.'!G90</f>
        <v>33</v>
      </c>
      <c r="J26" s="130">
        <f>'Sunday Est.'!G86</f>
        <v>31</v>
      </c>
      <c r="K26" s="130">
        <f t="shared" si="2"/>
        <v>31</v>
      </c>
      <c r="L26" s="130">
        <f t="shared" si="3"/>
        <v>43.4</v>
      </c>
      <c r="M26" s="131">
        <f t="shared" si="4"/>
        <v>1.4</v>
      </c>
      <c r="N26" s="130">
        <f t="shared" si="7"/>
        <v>12.399999999999999</v>
      </c>
      <c r="P26" s="29" t="s">
        <v>115</v>
      </c>
      <c r="Q26" s="130">
        <f>'Monday Est.'!P80</f>
        <v>38</v>
      </c>
      <c r="R26" s="130">
        <f>'Tuesday Est.'!P83</f>
        <v>34</v>
      </c>
      <c r="S26" s="130">
        <f>'Wednesday Est.'!P83</f>
        <v>33</v>
      </c>
      <c r="T26" s="130">
        <f>'Thursday Est.'!Q83</f>
        <v>31</v>
      </c>
      <c r="U26" s="130">
        <f>'Friday Est'!P83</f>
        <v>31</v>
      </c>
      <c r="V26" s="130">
        <f>'Saturday Est.'!P87</f>
        <v>32</v>
      </c>
      <c r="W26" s="130">
        <f>'Sunday Est.'!P83</f>
        <v>31</v>
      </c>
      <c r="X26" s="125">
        <f t="shared" si="5"/>
        <v>31</v>
      </c>
      <c r="Y26" s="157">
        <f t="shared" si="8"/>
        <v>33.4</v>
      </c>
      <c r="AA26" s="29" t="s">
        <v>115</v>
      </c>
      <c r="AB26" s="130">
        <f>'Monday Est.'!Y78</f>
        <v>43</v>
      </c>
      <c r="AC26" s="130">
        <f>'Tuesday Est.'!Y81</f>
        <v>42</v>
      </c>
      <c r="AD26" s="130">
        <f>'Wednesday Est.'!Y81</f>
        <v>40</v>
      </c>
      <c r="AE26" s="130">
        <f>'Thursday Est.'!Z81</f>
        <v>40</v>
      </c>
      <c r="AF26" s="130">
        <f>'Friday Est'!Y81</f>
        <v>38</v>
      </c>
      <c r="AG26" s="130">
        <f>'Saturday Est.'!Y85</f>
        <v>35</v>
      </c>
      <c r="AH26" s="130">
        <f>'Sunday Est.'!Y81</f>
        <v>30</v>
      </c>
      <c r="AI26" s="132">
        <f t="shared" si="6"/>
        <v>30</v>
      </c>
      <c r="AJ26" s="171">
        <f t="shared" si="9"/>
        <v>40.6</v>
      </c>
    </row>
    <row r="27" spans="2:37" ht="15" customHeight="1" x14ac:dyDescent="0.3">
      <c r="C27" s="29"/>
      <c r="D27" s="130">
        <f>SUM(D22:D26)</f>
        <v>262</v>
      </c>
      <c r="E27" s="130">
        <f t="shared" ref="E27:J27" si="10">SUM(E22:E26)</f>
        <v>249</v>
      </c>
      <c r="F27" s="130">
        <f t="shared" si="10"/>
        <v>236</v>
      </c>
      <c r="G27" s="130">
        <f t="shared" si="10"/>
        <v>202</v>
      </c>
      <c r="H27" s="130">
        <f t="shared" si="10"/>
        <v>184</v>
      </c>
      <c r="I27" s="130">
        <f t="shared" si="10"/>
        <v>184</v>
      </c>
      <c r="J27" s="130">
        <f t="shared" si="10"/>
        <v>160</v>
      </c>
      <c r="K27" s="130"/>
      <c r="L27" s="130">
        <f>AVERAGE(D27:J27)</f>
        <v>211</v>
      </c>
      <c r="N27" s="130">
        <f>SUM(N22:N26)</f>
        <v>66.599999999999994</v>
      </c>
      <c r="P27" s="29"/>
      <c r="Q27" s="130">
        <f>SUM(Q22:Q26)</f>
        <v>200.5</v>
      </c>
      <c r="R27" s="130">
        <f t="shared" ref="R27:W27" si="11">SUM(R22:R26)</f>
        <v>187</v>
      </c>
      <c r="S27" s="130">
        <f t="shared" si="11"/>
        <v>180</v>
      </c>
      <c r="T27" s="130">
        <f t="shared" si="11"/>
        <v>183</v>
      </c>
      <c r="U27" s="130">
        <f t="shared" si="11"/>
        <v>174</v>
      </c>
      <c r="V27" s="130">
        <f t="shared" si="11"/>
        <v>158</v>
      </c>
      <c r="W27" s="130">
        <f t="shared" si="11"/>
        <v>155</v>
      </c>
      <c r="X27" s="130"/>
      <c r="Y27" s="157">
        <f>AVERAGE(Q27:W27)</f>
        <v>176.78571428571428</v>
      </c>
      <c r="AA27" s="29"/>
      <c r="AB27" s="130"/>
      <c r="AC27" s="130"/>
      <c r="AD27" s="130"/>
      <c r="AE27" s="130"/>
      <c r="AF27" s="130"/>
      <c r="AG27" s="130"/>
      <c r="AH27" s="130"/>
    </row>
    <row r="28" spans="2:37" ht="15" customHeight="1" x14ac:dyDescent="0.3">
      <c r="C28" s="133" t="s">
        <v>593</v>
      </c>
      <c r="D28" s="130"/>
      <c r="E28" s="130"/>
      <c r="F28" s="130"/>
      <c r="G28" s="130"/>
      <c r="H28" s="130"/>
      <c r="I28" s="130"/>
      <c r="J28" s="130"/>
      <c r="K28" s="130"/>
      <c r="L28" s="130"/>
      <c r="N28" s="130"/>
      <c r="P28" s="29"/>
      <c r="Q28" s="130"/>
      <c r="R28" s="130"/>
      <c r="S28" s="130"/>
      <c r="T28" s="130"/>
      <c r="U28" s="130"/>
      <c r="V28" s="130"/>
      <c r="W28" s="130"/>
      <c r="X28" s="130"/>
      <c r="AA28" s="29"/>
      <c r="AB28" s="130"/>
      <c r="AC28" s="130"/>
      <c r="AD28" s="130"/>
      <c r="AE28" s="130"/>
      <c r="AF28" s="130"/>
      <c r="AG28" s="130"/>
      <c r="AH28" s="130"/>
    </row>
    <row r="29" spans="2:37" ht="15" customHeight="1" x14ac:dyDescent="0.3">
      <c r="B29" s="204" t="s">
        <v>593</v>
      </c>
      <c r="C29" s="128" t="s">
        <v>581</v>
      </c>
      <c r="D29" s="127" t="s">
        <v>184</v>
      </c>
      <c r="E29" s="127" t="s">
        <v>582</v>
      </c>
      <c r="F29" s="127" t="s">
        <v>192</v>
      </c>
      <c r="G29" s="127" t="s">
        <v>196</v>
      </c>
      <c r="H29" s="127" t="s">
        <v>200</v>
      </c>
      <c r="I29" s="127" t="s">
        <v>583</v>
      </c>
      <c r="J29" s="127" t="s">
        <v>206</v>
      </c>
      <c r="K29" s="130" t="s">
        <v>653</v>
      </c>
      <c r="L29" s="130" t="s">
        <v>654</v>
      </c>
      <c r="N29" s="130"/>
      <c r="P29" s="128" t="s">
        <v>584</v>
      </c>
      <c r="Q29" s="127" t="s">
        <v>184</v>
      </c>
      <c r="R29" s="127" t="s">
        <v>582</v>
      </c>
      <c r="S29" s="127" t="s">
        <v>192</v>
      </c>
      <c r="T29" s="127" t="s">
        <v>196</v>
      </c>
      <c r="U29" s="127" t="s">
        <v>200</v>
      </c>
      <c r="V29" s="127" t="s">
        <v>583</v>
      </c>
      <c r="W29" s="127" t="s">
        <v>206</v>
      </c>
      <c r="X29" s="127" t="s">
        <v>653</v>
      </c>
      <c r="Y29" s="127" t="s">
        <v>654</v>
      </c>
      <c r="AA29" s="128" t="s">
        <v>585</v>
      </c>
      <c r="AB29" s="127" t="s">
        <v>184</v>
      </c>
      <c r="AC29" s="127" t="s">
        <v>582</v>
      </c>
      <c r="AD29" s="127" t="s">
        <v>192</v>
      </c>
      <c r="AE29" s="127" t="s">
        <v>196</v>
      </c>
      <c r="AF29" s="127" t="s">
        <v>200</v>
      </c>
      <c r="AG29" s="127" t="s">
        <v>583</v>
      </c>
      <c r="AH29" s="127" t="s">
        <v>206</v>
      </c>
      <c r="AI29" s="127" t="s">
        <v>653</v>
      </c>
      <c r="AJ29" s="127" t="s">
        <v>654</v>
      </c>
    </row>
    <row r="30" spans="2:37" ht="15" customHeight="1" x14ac:dyDescent="0.3">
      <c r="B30" s="176"/>
      <c r="C30" s="29" t="s">
        <v>111</v>
      </c>
      <c r="D30" s="130">
        <f t="shared" ref="D30:D34" si="12">D22-K22</f>
        <v>17</v>
      </c>
      <c r="E30" s="130">
        <f t="shared" ref="E30:E34" si="13">E22-K22</f>
        <v>15</v>
      </c>
      <c r="F30" s="130">
        <f t="shared" ref="F30:F34" si="14">F22-K22</f>
        <v>12</v>
      </c>
      <c r="G30" s="130">
        <f t="shared" ref="G30:G34" si="15">G22-K22</f>
        <v>11</v>
      </c>
      <c r="H30" s="130">
        <f t="shared" ref="H30:H34" si="16">H22-K22</f>
        <v>5</v>
      </c>
      <c r="I30" s="130">
        <f t="shared" ref="I30:I34" si="17">I22-K22</f>
        <v>8</v>
      </c>
      <c r="J30" s="134">
        <f t="shared" ref="J30:J34" si="18">J22-K22</f>
        <v>0</v>
      </c>
      <c r="K30" s="130">
        <f>AVERAGE(D30:H30)</f>
        <v>12</v>
      </c>
      <c r="L30" s="130">
        <f>AVERAGE(I30:J30)</f>
        <v>4</v>
      </c>
      <c r="M30" s="157">
        <f>MAX(D30:H30)</f>
        <v>17</v>
      </c>
      <c r="N30" s="130"/>
      <c r="P30" s="29" t="s">
        <v>111</v>
      </c>
      <c r="Q30" s="130">
        <f t="shared" ref="Q30:W30" si="19">Q22-$X22</f>
        <v>0</v>
      </c>
      <c r="R30" s="130">
        <f t="shared" si="19"/>
        <v>0</v>
      </c>
      <c r="S30" s="130">
        <f t="shared" si="19"/>
        <v>1</v>
      </c>
      <c r="T30" s="130">
        <f t="shared" si="19"/>
        <v>0</v>
      </c>
      <c r="U30" s="130">
        <f t="shared" si="19"/>
        <v>0</v>
      </c>
      <c r="V30" s="134">
        <f t="shared" si="19"/>
        <v>0</v>
      </c>
      <c r="W30" s="130">
        <f t="shared" si="19"/>
        <v>0</v>
      </c>
      <c r="X30" s="130">
        <f>AVERAGE(Q30:U30)</f>
        <v>0.2</v>
      </c>
      <c r="Y30" s="157">
        <f>AVERAGE(V30:W30)</f>
        <v>0</v>
      </c>
      <c r="Z30" s="157">
        <f>MAX(Q30:U30)</f>
        <v>1</v>
      </c>
      <c r="AA30" s="29" t="s">
        <v>111</v>
      </c>
      <c r="AB30" s="130">
        <f t="shared" ref="AB30:AH30" si="20">AB22-$AI22</f>
        <v>5</v>
      </c>
      <c r="AC30" s="130">
        <f t="shared" si="20"/>
        <v>4</v>
      </c>
      <c r="AD30" s="130">
        <f t="shared" si="20"/>
        <v>4</v>
      </c>
      <c r="AE30" s="130">
        <f t="shared" si="20"/>
        <v>3</v>
      </c>
      <c r="AF30" s="130">
        <f t="shared" si="20"/>
        <v>2</v>
      </c>
      <c r="AG30" s="130">
        <f t="shared" si="20"/>
        <v>2</v>
      </c>
      <c r="AH30" s="134">
        <f t="shared" si="20"/>
        <v>0</v>
      </c>
      <c r="AI30" s="157">
        <f>AVERAGE(AB30:AF30)</f>
        <v>3.6</v>
      </c>
      <c r="AJ30" s="157">
        <f>AVERAGE(AG30:AH30)</f>
        <v>1</v>
      </c>
      <c r="AK30" s="157">
        <f>MAX(AB30:AF30)</f>
        <v>5</v>
      </c>
    </row>
    <row r="31" spans="2:37" ht="15" customHeight="1" x14ac:dyDescent="0.3">
      <c r="B31" s="176"/>
      <c r="C31" s="29" t="s">
        <v>112</v>
      </c>
      <c r="D31" s="130">
        <f t="shared" si="12"/>
        <v>23</v>
      </c>
      <c r="E31" s="130">
        <f t="shared" si="13"/>
        <v>21</v>
      </c>
      <c r="F31" s="130">
        <f t="shared" si="14"/>
        <v>21</v>
      </c>
      <c r="G31" s="130">
        <f t="shared" si="15"/>
        <v>16</v>
      </c>
      <c r="H31" s="130">
        <f t="shared" si="16"/>
        <v>10</v>
      </c>
      <c r="I31" s="130">
        <f t="shared" si="17"/>
        <v>3</v>
      </c>
      <c r="J31" s="134">
        <f t="shared" si="18"/>
        <v>0</v>
      </c>
      <c r="K31" s="130">
        <f t="shared" ref="K31:K34" si="21">AVERAGE(D31:H31)</f>
        <v>18.2</v>
      </c>
      <c r="L31" s="130">
        <f t="shared" ref="L31:L34" si="22">AVERAGE(I31:J31)</f>
        <v>1.5</v>
      </c>
      <c r="M31" s="157">
        <f t="shared" ref="M31:M35" si="23">MAX(D31:H31)</f>
        <v>23</v>
      </c>
      <c r="N31" s="130"/>
      <c r="P31" s="29" t="s">
        <v>112</v>
      </c>
      <c r="Q31" s="130">
        <f t="shared" ref="Q31:W31" si="24">Q23-$X23</f>
        <v>19.5</v>
      </c>
      <c r="R31" s="130">
        <f t="shared" si="24"/>
        <v>21</v>
      </c>
      <c r="S31" s="130">
        <f t="shared" si="24"/>
        <v>10</v>
      </c>
      <c r="T31" s="130">
        <f t="shared" si="24"/>
        <v>17</v>
      </c>
      <c r="U31" s="130">
        <f t="shared" si="24"/>
        <v>14</v>
      </c>
      <c r="V31" s="134">
        <f t="shared" si="24"/>
        <v>0</v>
      </c>
      <c r="W31" s="130">
        <f t="shared" si="24"/>
        <v>3</v>
      </c>
      <c r="X31" s="130">
        <f t="shared" ref="X31:X34" si="25">AVERAGE(Q31:U31)</f>
        <v>16.3</v>
      </c>
      <c r="Y31" s="157">
        <f t="shared" ref="Y31:Y34" si="26">AVERAGE(V31:W31)</f>
        <v>1.5</v>
      </c>
      <c r="Z31" s="157">
        <f t="shared" ref="Z31:Z34" si="27">MAX(Q31:U31)</f>
        <v>21</v>
      </c>
      <c r="AA31" s="29" t="s">
        <v>112</v>
      </c>
      <c r="AB31" s="130">
        <f t="shared" ref="AB31:AH31" si="28">AB23-$AI23</f>
        <v>12</v>
      </c>
      <c r="AC31" s="130">
        <f t="shared" si="28"/>
        <v>10</v>
      </c>
      <c r="AD31" s="130">
        <f t="shared" si="28"/>
        <v>10</v>
      </c>
      <c r="AE31" s="130">
        <f t="shared" si="28"/>
        <v>9</v>
      </c>
      <c r="AF31" s="130">
        <f t="shared" si="28"/>
        <v>7</v>
      </c>
      <c r="AG31" s="130">
        <f t="shared" si="28"/>
        <v>6</v>
      </c>
      <c r="AH31" s="134">
        <f t="shared" si="28"/>
        <v>0</v>
      </c>
      <c r="AI31" s="157">
        <f t="shared" ref="AI31:AI34" si="29">AVERAGE(AB31:AF31)</f>
        <v>9.6</v>
      </c>
      <c r="AJ31" s="157">
        <f t="shared" ref="AJ31:AJ34" si="30">AVERAGE(AG31:AH31)</f>
        <v>3</v>
      </c>
      <c r="AK31" s="157">
        <f t="shared" ref="AK31:AK34" si="31">MAX(AB31:AF31)</f>
        <v>12</v>
      </c>
    </row>
    <row r="32" spans="2:37" ht="15" customHeight="1" x14ac:dyDescent="0.3">
      <c r="B32" s="176"/>
      <c r="C32" s="29" t="s">
        <v>113</v>
      </c>
      <c r="D32" s="130">
        <f t="shared" si="12"/>
        <v>6</v>
      </c>
      <c r="E32" s="130">
        <f t="shared" si="13"/>
        <v>5</v>
      </c>
      <c r="F32" s="130">
        <f t="shared" si="14"/>
        <v>4</v>
      </c>
      <c r="G32" s="130">
        <f t="shared" si="15"/>
        <v>1</v>
      </c>
      <c r="H32" s="130">
        <f t="shared" si="16"/>
        <v>3</v>
      </c>
      <c r="I32" s="130">
        <f t="shared" si="17"/>
        <v>5</v>
      </c>
      <c r="J32" s="134">
        <f t="shared" si="18"/>
        <v>0</v>
      </c>
      <c r="K32" s="130">
        <f t="shared" si="21"/>
        <v>3.8</v>
      </c>
      <c r="L32" s="130">
        <f t="shared" si="22"/>
        <v>2.5</v>
      </c>
      <c r="M32" s="157">
        <f t="shared" si="23"/>
        <v>6</v>
      </c>
      <c r="N32" s="130"/>
      <c r="P32" s="29" t="s">
        <v>113</v>
      </c>
      <c r="Q32" s="130">
        <f t="shared" ref="Q32:W32" si="32">Q24-$X24</f>
        <v>5</v>
      </c>
      <c r="R32" s="130">
        <f t="shared" si="32"/>
        <v>1</v>
      </c>
      <c r="S32" s="130">
        <f t="shared" si="32"/>
        <v>0</v>
      </c>
      <c r="T32" s="130">
        <f t="shared" si="32"/>
        <v>0</v>
      </c>
      <c r="U32" s="130">
        <f t="shared" si="32"/>
        <v>0</v>
      </c>
      <c r="V32" s="134">
        <f t="shared" si="32"/>
        <v>0</v>
      </c>
      <c r="W32" s="130">
        <f t="shared" si="32"/>
        <v>1</v>
      </c>
      <c r="X32" s="130">
        <f t="shared" si="25"/>
        <v>1.2</v>
      </c>
      <c r="Y32" s="157">
        <f t="shared" si="26"/>
        <v>0.5</v>
      </c>
      <c r="Z32" s="157">
        <f t="shared" si="27"/>
        <v>5</v>
      </c>
      <c r="AA32" s="29" t="s">
        <v>113</v>
      </c>
      <c r="AB32" s="130">
        <f t="shared" ref="AB32:AH32" si="33">AB24-$AI24</f>
        <v>4</v>
      </c>
      <c r="AC32" s="130">
        <f t="shared" si="33"/>
        <v>3</v>
      </c>
      <c r="AD32" s="130">
        <f t="shared" si="33"/>
        <v>3</v>
      </c>
      <c r="AE32" s="130">
        <f t="shared" si="33"/>
        <v>2</v>
      </c>
      <c r="AF32" s="130">
        <f t="shared" si="33"/>
        <v>0</v>
      </c>
      <c r="AG32" s="130">
        <f t="shared" si="33"/>
        <v>1</v>
      </c>
      <c r="AH32" s="134">
        <f t="shared" si="33"/>
        <v>0</v>
      </c>
      <c r="AI32" s="157">
        <f t="shared" si="29"/>
        <v>2.4</v>
      </c>
      <c r="AJ32" s="157">
        <f t="shared" si="30"/>
        <v>0.5</v>
      </c>
      <c r="AK32" s="157">
        <f t="shared" si="31"/>
        <v>4</v>
      </c>
    </row>
    <row r="33" spans="2:37" ht="15" customHeight="1" x14ac:dyDescent="0.3">
      <c r="B33" s="176"/>
      <c r="C33" s="29" t="s">
        <v>114</v>
      </c>
      <c r="D33" s="130">
        <f t="shared" si="12"/>
        <v>31</v>
      </c>
      <c r="E33" s="130">
        <f t="shared" si="13"/>
        <v>28</v>
      </c>
      <c r="F33" s="130">
        <f t="shared" si="14"/>
        <v>26</v>
      </c>
      <c r="G33" s="130">
        <f t="shared" si="15"/>
        <v>11</v>
      </c>
      <c r="H33" s="130">
        <f t="shared" si="16"/>
        <v>5</v>
      </c>
      <c r="I33" s="130">
        <f t="shared" si="17"/>
        <v>6</v>
      </c>
      <c r="J33" s="134">
        <f t="shared" si="18"/>
        <v>0</v>
      </c>
      <c r="K33" s="130">
        <f t="shared" si="21"/>
        <v>20.2</v>
      </c>
      <c r="L33" s="130">
        <f t="shared" si="22"/>
        <v>3</v>
      </c>
      <c r="M33" s="157">
        <f t="shared" si="23"/>
        <v>31</v>
      </c>
      <c r="N33" s="130"/>
      <c r="P33" s="29" t="s">
        <v>114</v>
      </c>
      <c r="Q33" s="130">
        <f t="shared" ref="Q33:W33" si="34">Q25-$X25</f>
        <v>18</v>
      </c>
      <c r="R33" s="130">
        <f t="shared" si="34"/>
        <v>11</v>
      </c>
      <c r="S33" s="130">
        <f t="shared" si="34"/>
        <v>16</v>
      </c>
      <c r="T33" s="130">
        <f t="shared" si="34"/>
        <v>15</v>
      </c>
      <c r="U33" s="130">
        <f t="shared" si="34"/>
        <v>9</v>
      </c>
      <c r="V33" s="130">
        <f t="shared" si="34"/>
        <v>6</v>
      </c>
      <c r="W33" s="134">
        <f t="shared" si="34"/>
        <v>0</v>
      </c>
      <c r="X33" s="130">
        <f t="shared" si="25"/>
        <v>13.8</v>
      </c>
      <c r="Y33" s="157">
        <f t="shared" si="26"/>
        <v>3</v>
      </c>
      <c r="Z33" s="157">
        <f t="shared" si="27"/>
        <v>18</v>
      </c>
      <c r="AA33" s="29" t="s">
        <v>114</v>
      </c>
      <c r="AB33" s="130">
        <f t="shared" ref="AB33:AH33" si="35">AB25-$AI25</f>
        <v>30</v>
      </c>
      <c r="AC33" s="130">
        <f t="shared" si="35"/>
        <v>28</v>
      </c>
      <c r="AD33" s="130">
        <f t="shared" si="35"/>
        <v>24</v>
      </c>
      <c r="AE33" s="130">
        <f t="shared" si="35"/>
        <v>24</v>
      </c>
      <c r="AF33" s="130">
        <f t="shared" si="35"/>
        <v>22</v>
      </c>
      <c r="AG33" s="130">
        <f t="shared" si="35"/>
        <v>10</v>
      </c>
      <c r="AH33" s="134">
        <f t="shared" si="35"/>
        <v>0</v>
      </c>
      <c r="AI33" s="157">
        <f t="shared" si="29"/>
        <v>25.6</v>
      </c>
      <c r="AJ33" s="157">
        <f t="shared" si="30"/>
        <v>5</v>
      </c>
      <c r="AK33" s="157">
        <f t="shared" si="31"/>
        <v>30</v>
      </c>
    </row>
    <row r="34" spans="2:37" ht="15" customHeight="1" x14ac:dyDescent="0.3">
      <c r="B34" s="176"/>
      <c r="C34" s="29" t="s">
        <v>115</v>
      </c>
      <c r="D34" s="130">
        <f t="shared" si="12"/>
        <v>25</v>
      </c>
      <c r="E34" s="130">
        <f t="shared" si="13"/>
        <v>20</v>
      </c>
      <c r="F34" s="130">
        <f t="shared" si="14"/>
        <v>13</v>
      </c>
      <c r="G34" s="130">
        <f t="shared" si="15"/>
        <v>3</v>
      </c>
      <c r="H34" s="130">
        <f t="shared" si="16"/>
        <v>1</v>
      </c>
      <c r="I34" s="130">
        <f t="shared" si="17"/>
        <v>2</v>
      </c>
      <c r="J34" s="134">
        <f t="shared" si="18"/>
        <v>0</v>
      </c>
      <c r="K34" s="130">
        <f t="shared" si="21"/>
        <v>12.4</v>
      </c>
      <c r="L34" s="130">
        <f t="shared" si="22"/>
        <v>1</v>
      </c>
      <c r="M34" s="157">
        <f t="shared" si="23"/>
        <v>25</v>
      </c>
      <c r="N34" s="130"/>
      <c r="P34" s="29" t="s">
        <v>115</v>
      </c>
      <c r="Q34" s="130">
        <f t="shared" ref="Q34:W34" si="36">Q26-$X26</f>
        <v>7</v>
      </c>
      <c r="R34" s="130">
        <f t="shared" si="36"/>
        <v>3</v>
      </c>
      <c r="S34" s="130">
        <f t="shared" si="36"/>
        <v>2</v>
      </c>
      <c r="T34" s="130">
        <f t="shared" si="36"/>
        <v>0</v>
      </c>
      <c r="U34" s="130">
        <f t="shared" si="36"/>
        <v>0</v>
      </c>
      <c r="V34" s="130">
        <f t="shared" si="36"/>
        <v>1</v>
      </c>
      <c r="W34" s="134">
        <f t="shared" si="36"/>
        <v>0</v>
      </c>
      <c r="X34" s="130">
        <f t="shared" si="25"/>
        <v>2.4</v>
      </c>
      <c r="Y34" s="157">
        <f t="shared" si="26"/>
        <v>0.5</v>
      </c>
      <c r="Z34" s="157">
        <f t="shared" si="27"/>
        <v>7</v>
      </c>
      <c r="AA34" s="29" t="s">
        <v>115</v>
      </c>
      <c r="AB34" s="130">
        <f t="shared" ref="AB34:AH34" si="37">AB26-$AI26</f>
        <v>13</v>
      </c>
      <c r="AC34" s="130">
        <f t="shared" si="37"/>
        <v>12</v>
      </c>
      <c r="AD34" s="130">
        <f t="shared" si="37"/>
        <v>10</v>
      </c>
      <c r="AE34" s="130">
        <f t="shared" si="37"/>
        <v>10</v>
      </c>
      <c r="AF34" s="130">
        <f t="shared" si="37"/>
        <v>8</v>
      </c>
      <c r="AG34" s="130">
        <f t="shared" si="37"/>
        <v>5</v>
      </c>
      <c r="AH34" s="134">
        <f t="shared" si="37"/>
        <v>0</v>
      </c>
      <c r="AI34" s="157">
        <f t="shared" si="29"/>
        <v>10.6</v>
      </c>
      <c r="AJ34" s="157">
        <f t="shared" si="30"/>
        <v>2.5</v>
      </c>
      <c r="AK34" s="157">
        <f t="shared" si="31"/>
        <v>13</v>
      </c>
    </row>
    <row r="35" spans="2:37" ht="15" customHeight="1" x14ac:dyDescent="0.3">
      <c r="C35" s="29"/>
      <c r="D35" s="130">
        <f>SUM(D30:D34)</f>
        <v>102</v>
      </c>
      <c r="E35" s="130">
        <f t="shared" ref="E35:J35" si="38">SUM(E30:E34)</f>
        <v>89</v>
      </c>
      <c r="F35" s="130">
        <f t="shared" si="38"/>
        <v>76</v>
      </c>
      <c r="G35" s="130">
        <f t="shared" si="38"/>
        <v>42</v>
      </c>
      <c r="H35" s="130">
        <f t="shared" si="38"/>
        <v>24</v>
      </c>
      <c r="I35" s="130">
        <f t="shared" si="38"/>
        <v>24</v>
      </c>
      <c r="J35" s="130">
        <f t="shared" si="38"/>
        <v>0</v>
      </c>
      <c r="K35" s="130">
        <f>AVERAGE(D35:J35)</f>
        <v>51</v>
      </c>
      <c r="L35" s="130"/>
      <c r="M35" s="157">
        <f t="shared" si="23"/>
        <v>102</v>
      </c>
      <c r="N35" s="130"/>
      <c r="P35" s="29"/>
      <c r="Q35" s="130">
        <f>SUM(Q30:Q34)</f>
        <v>49.5</v>
      </c>
      <c r="R35" s="130">
        <f t="shared" ref="R35:W35" si="39">SUM(R30:R34)</f>
        <v>36</v>
      </c>
      <c r="S35" s="130">
        <f t="shared" si="39"/>
        <v>29</v>
      </c>
      <c r="T35" s="130">
        <f t="shared" si="39"/>
        <v>32</v>
      </c>
      <c r="U35" s="130">
        <f t="shared" si="39"/>
        <v>23</v>
      </c>
      <c r="V35" s="130">
        <f t="shared" si="39"/>
        <v>7</v>
      </c>
      <c r="W35" s="130">
        <f t="shared" si="39"/>
        <v>4</v>
      </c>
      <c r="X35" s="130">
        <f>AVERAGE(Q35:W35)</f>
        <v>25.785714285714285</v>
      </c>
      <c r="AA35" s="29"/>
      <c r="AB35" s="130">
        <f>SUM(AB30:AB34)</f>
        <v>64</v>
      </c>
      <c r="AC35" s="130">
        <f t="shared" ref="AC35:AH35" si="40">SUM(AC30:AC34)</f>
        <v>57</v>
      </c>
      <c r="AD35" s="130">
        <f t="shared" si="40"/>
        <v>51</v>
      </c>
      <c r="AE35" s="130">
        <f t="shared" si="40"/>
        <v>48</v>
      </c>
      <c r="AF35" s="130">
        <f t="shared" si="40"/>
        <v>39</v>
      </c>
      <c r="AG35" s="130">
        <f t="shared" si="40"/>
        <v>24</v>
      </c>
      <c r="AH35" s="130">
        <f t="shared" si="40"/>
        <v>0</v>
      </c>
      <c r="AJ35" s="157">
        <f>AVERAGE(AB35:AH35)</f>
        <v>40.428571428571431</v>
      </c>
    </row>
    <row r="36" spans="2:37" ht="15" customHeight="1" x14ac:dyDescent="0.3">
      <c r="C36" s="133" t="s">
        <v>594</v>
      </c>
      <c r="D36" s="130"/>
      <c r="E36" s="130"/>
      <c r="F36" s="130"/>
      <c r="G36" s="130"/>
      <c r="H36" s="130"/>
      <c r="I36" s="130"/>
      <c r="J36" s="130"/>
      <c r="K36" s="130"/>
      <c r="L36" s="130"/>
      <c r="N36" s="130"/>
      <c r="P36" s="133" t="s">
        <v>594</v>
      </c>
      <c r="Q36" s="130"/>
      <c r="R36" s="130"/>
      <c r="S36" s="130"/>
      <c r="T36" s="130"/>
      <c r="U36" s="130"/>
      <c r="V36" s="130"/>
      <c r="W36" s="130"/>
      <c r="X36" s="130"/>
      <c r="AA36" s="135" t="s">
        <v>594</v>
      </c>
      <c r="AB36" s="135"/>
      <c r="AC36" s="135"/>
      <c r="AD36" s="136"/>
      <c r="AE36" s="136"/>
      <c r="AF36" s="136"/>
      <c r="AG36" s="136"/>
      <c r="AH36" s="130"/>
    </row>
    <row r="37" spans="2:37" ht="36" customHeight="1" x14ac:dyDescent="0.3">
      <c r="B37" s="204" t="s">
        <v>594</v>
      </c>
      <c r="C37" s="128" t="s">
        <v>581</v>
      </c>
      <c r="D37" s="137" t="s">
        <v>595</v>
      </c>
      <c r="E37" s="137" t="s">
        <v>596</v>
      </c>
      <c r="F37" s="137" t="s">
        <v>597</v>
      </c>
      <c r="G37" s="137" t="s">
        <v>598</v>
      </c>
      <c r="H37" s="137" t="s">
        <v>599</v>
      </c>
      <c r="I37" s="138" t="s">
        <v>600</v>
      </c>
      <c r="K37" s="130"/>
      <c r="L37" s="130"/>
      <c r="N37" s="130"/>
      <c r="P37" s="128" t="s">
        <v>584</v>
      </c>
      <c r="Q37" s="137" t="s">
        <v>595</v>
      </c>
      <c r="R37" s="137" t="s">
        <v>596</v>
      </c>
      <c r="S37" s="137" t="s">
        <v>597</v>
      </c>
      <c r="T37" s="137" t="s">
        <v>598</v>
      </c>
      <c r="U37" s="137" t="s">
        <v>599</v>
      </c>
      <c r="V37" s="137" t="s">
        <v>600</v>
      </c>
      <c r="W37" s="130"/>
      <c r="X37" s="130"/>
      <c r="AA37" s="128" t="s">
        <v>585</v>
      </c>
      <c r="AB37" s="139" t="s">
        <v>595</v>
      </c>
      <c r="AC37" s="139" t="s">
        <v>596</v>
      </c>
      <c r="AD37" s="139" t="s">
        <v>597</v>
      </c>
      <c r="AE37" s="139" t="s">
        <v>598</v>
      </c>
      <c r="AF37" s="139" t="s">
        <v>599</v>
      </c>
      <c r="AG37" s="139" t="s">
        <v>600</v>
      </c>
      <c r="AH37" s="130"/>
    </row>
    <row r="38" spans="2:37" ht="15" customHeight="1" x14ac:dyDescent="0.3">
      <c r="B38" s="176"/>
      <c r="C38" s="29" t="s">
        <v>111</v>
      </c>
      <c r="D38" s="130">
        <v>60</v>
      </c>
      <c r="E38" s="130">
        <f t="shared" ref="E38:E42" si="41">AVERAGE(D22:H22)</f>
        <v>37</v>
      </c>
      <c r="F38" s="130">
        <f t="shared" ref="F38:F42" si="42">MIN(D22:J22)</f>
        <v>25</v>
      </c>
      <c r="G38" s="125">
        <f t="shared" ref="G38:G42" si="43">D38/F38</f>
        <v>2.4</v>
      </c>
      <c r="H38" s="125">
        <f t="shared" ref="H38:H42" si="44">D38/E38</f>
        <v>1.6216216216216217</v>
      </c>
      <c r="I38" s="125">
        <f t="shared" ref="I38:I42" si="45">G38-H38</f>
        <v>0.7783783783783782</v>
      </c>
      <c r="J38" s="130"/>
      <c r="K38" s="130"/>
      <c r="L38" s="130"/>
      <c r="N38" s="130"/>
      <c r="P38" s="29" t="s">
        <v>111</v>
      </c>
      <c r="Q38" s="130">
        <v>60</v>
      </c>
      <c r="R38" s="130">
        <f t="shared" ref="R38:R42" si="46">AVERAGE(Q22:U22)</f>
        <v>30.2</v>
      </c>
      <c r="S38" s="130">
        <f t="shared" ref="S38:S42" si="47">MIN(Q22:W22)</f>
        <v>30</v>
      </c>
      <c r="T38" s="125">
        <f t="shared" ref="T38:T42" si="48">Q38/S38</f>
        <v>2</v>
      </c>
      <c r="U38" s="125">
        <f t="shared" ref="U38:U42" si="49">Q38/R38</f>
        <v>1.9867549668874174</v>
      </c>
      <c r="V38" s="125">
        <f t="shared" ref="V38:V42" si="50">T38-U38</f>
        <v>1.3245033112582627E-2</v>
      </c>
      <c r="W38" s="130"/>
      <c r="X38" s="130"/>
      <c r="AA38" s="140" t="s">
        <v>111</v>
      </c>
      <c r="AB38" s="136">
        <v>60</v>
      </c>
      <c r="AC38" s="136">
        <f t="shared" ref="AC38:AC42" si="51">AVERAGE(AB22:AF22)</f>
        <v>33.6</v>
      </c>
      <c r="AD38" s="136">
        <f t="shared" ref="AD38:AD42" si="52">MIN(AB22:AH22)</f>
        <v>30</v>
      </c>
      <c r="AE38" s="141">
        <f t="shared" ref="AE38:AE42" si="53">AB38/AD38</f>
        <v>2</v>
      </c>
      <c r="AF38" s="141">
        <f t="shared" ref="AF38:AF42" si="54">AB38/AC38</f>
        <v>1.7857142857142856</v>
      </c>
      <c r="AG38" s="141">
        <f t="shared" ref="AG38:AG42" si="55">AE38-AF38</f>
        <v>0.21428571428571441</v>
      </c>
      <c r="AH38" s="130"/>
    </row>
    <row r="39" spans="2:37" ht="15" customHeight="1" x14ac:dyDescent="0.3">
      <c r="B39" s="176"/>
      <c r="C39" s="29" t="s">
        <v>112</v>
      </c>
      <c r="D39" s="130">
        <v>180</v>
      </c>
      <c r="E39" s="130">
        <f t="shared" si="41"/>
        <v>57.2</v>
      </c>
      <c r="F39" s="130">
        <f t="shared" si="42"/>
        <v>39</v>
      </c>
      <c r="G39" s="125">
        <f t="shared" si="43"/>
        <v>4.615384615384615</v>
      </c>
      <c r="H39" s="125">
        <f t="shared" si="44"/>
        <v>3.1468531468531467</v>
      </c>
      <c r="I39" s="125">
        <f t="shared" si="45"/>
        <v>1.4685314685314683</v>
      </c>
      <c r="J39" s="130"/>
      <c r="K39" s="130"/>
      <c r="L39" s="130"/>
      <c r="N39" s="130"/>
      <c r="P39" s="29" t="s">
        <v>112</v>
      </c>
      <c r="Q39" s="130">
        <v>180</v>
      </c>
      <c r="R39" s="130">
        <f t="shared" si="46"/>
        <v>46.3</v>
      </c>
      <c r="S39" s="130">
        <f t="shared" si="47"/>
        <v>30</v>
      </c>
      <c r="T39" s="125">
        <f t="shared" si="48"/>
        <v>6</v>
      </c>
      <c r="U39" s="125">
        <f t="shared" si="49"/>
        <v>3.8876889848812097</v>
      </c>
      <c r="V39" s="125">
        <f t="shared" si="50"/>
        <v>2.1123110151187903</v>
      </c>
      <c r="W39" s="130"/>
      <c r="X39" s="130"/>
      <c r="AA39" s="140" t="s">
        <v>112</v>
      </c>
      <c r="AB39" s="136">
        <v>180</v>
      </c>
      <c r="AC39" s="136">
        <f t="shared" si="51"/>
        <v>49.6</v>
      </c>
      <c r="AD39" s="136">
        <f t="shared" si="52"/>
        <v>40</v>
      </c>
      <c r="AE39" s="141">
        <f t="shared" si="53"/>
        <v>4.5</v>
      </c>
      <c r="AF39" s="141">
        <f t="shared" si="54"/>
        <v>3.629032258064516</v>
      </c>
      <c r="AG39" s="141">
        <f t="shared" si="55"/>
        <v>0.87096774193548399</v>
      </c>
      <c r="AH39" s="130"/>
    </row>
    <row r="40" spans="2:37" ht="15" customHeight="1" x14ac:dyDescent="0.3">
      <c r="B40" s="176"/>
      <c r="C40" s="29" t="s">
        <v>113</v>
      </c>
      <c r="D40" s="130">
        <v>300</v>
      </c>
      <c r="E40" s="130">
        <f t="shared" si="41"/>
        <v>33.799999999999997</v>
      </c>
      <c r="F40" s="130">
        <f t="shared" si="42"/>
        <v>30</v>
      </c>
      <c r="G40" s="125">
        <f t="shared" si="43"/>
        <v>10</v>
      </c>
      <c r="H40" s="125">
        <f t="shared" si="44"/>
        <v>8.8757396449704142</v>
      </c>
      <c r="I40" s="125">
        <f t="shared" si="45"/>
        <v>1.1242603550295858</v>
      </c>
      <c r="J40" s="130"/>
      <c r="K40" s="130"/>
      <c r="L40" s="130"/>
      <c r="N40" s="130"/>
      <c r="P40" s="29" t="s">
        <v>113</v>
      </c>
      <c r="Q40" s="130">
        <v>300</v>
      </c>
      <c r="R40" s="130">
        <f t="shared" si="46"/>
        <v>31.2</v>
      </c>
      <c r="S40" s="130">
        <f t="shared" si="47"/>
        <v>30</v>
      </c>
      <c r="T40" s="125">
        <f t="shared" si="48"/>
        <v>10</v>
      </c>
      <c r="U40" s="125">
        <f t="shared" si="49"/>
        <v>9.615384615384615</v>
      </c>
      <c r="V40" s="125">
        <f t="shared" si="50"/>
        <v>0.38461538461538503</v>
      </c>
      <c r="W40" s="130"/>
      <c r="X40" s="130"/>
      <c r="AA40" s="140" t="s">
        <v>113</v>
      </c>
      <c r="AB40" s="136">
        <v>300</v>
      </c>
      <c r="AC40" s="136">
        <f t="shared" si="51"/>
        <v>33.4</v>
      </c>
      <c r="AD40" s="136">
        <f t="shared" si="52"/>
        <v>31</v>
      </c>
      <c r="AE40" s="141">
        <f t="shared" si="53"/>
        <v>9.67741935483871</v>
      </c>
      <c r="AF40" s="141">
        <f t="shared" si="54"/>
        <v>8.9820359281437128</v>
      </c>
      <c r="AG40" s="141">
        <f t="shared" si="55"/>
        <v>0.6953834266949972</v>
      </c>
      <c r="AH40" s="130"/>
    </row>
    <row r="41" spans="2:37" ht="15" customHeight="1" x14ac:dyDescent="0.3">
      <c r="B41" s="176"/>
      <c r="C41" s="29" t="s">
        <v>114</v>
      </c>
      <c r="D41" s="130">
        <v>240</v>
      </c>
      <c r="E41" s="130">
        <f t="shared" si="41"/>
        <v>55.2</v>
      </c>
      <c r="F41" s="130">
        <f t="shared" si="42"/>
        <v>35</v>
      </c>
      <c r="G41" s="125">
        <f t="shared" si="43"/>
        <v>6.8571428571428568</v>
      </c>
      <c r="H41" s="125">
        <f t="shared" si="44"/>
        <v>4.3478260869565215</v>
      </c>
      <c r="I41" s="125">
        <f t="shared" si="45"/>
        <v>2.5093167701863353</v>
      </c>
      <c r="J41" s="130"/>
      <c r="K41" s="130"/>
      <c r="L41" s="130"/>
      <c r="N41" s="130"/>
      <c r="P41" s="29" t="s">
        <v>114</v>
      </c>
      <c r="Q41" s="130">
        <v>240</v>
      </c>
      <c r="R41" s="130">
        <f t="shared" si="46"/>
        <v>43.8</v>
      </c>
      <c r="S41" s="130">
        <f t="shared" si="47"/>
        <v>30</v>
      </c>
      <c r="T41" s="125">
        <f t="shared" si="48"/>
        <v>8</v>
      </c>
      <c r="U41" s="125">
        <f t="shared" si="49"/>
        <v>5.4794520547945211</v>
      </c>
      <c r="V41" s="125">
        <f t="shared" si="50"/>
        <v>2.5205479452054789</v>
      </c>
      <c r="W41" s="130"/>
      <c r="X41" s="130"/>
      <c r="AA41" s="140" t="s">
        <v>114</v>
      </c>
      <c r="AB41" s="136">
        <v>240</v>
      </c>
      <c r="AC41" s="136">
        <f t="shared" si="51"/>
        <v>55.6</v>
      </c>
      <c r="AD41" s="136">
        <f t="shared" si="52"/>
        <v>30</v>
      </c>
      <c r="AE41" s="141">
        <f t="shared" si="53"/>
        <v>8</v>
      </c>
      <c r="AF41" s="141">
        <f t="shared" si="54"/>
        <v>4.3165467625899279</v>
      </c>
      <c r="AG41" s="141">
        <f t="shared" si="55"/>
        <v>3.6834532374100721</v>
      </c>
      <c r="AH41" s="130"/>
    </row>
    <row r="42" spans="2:37" ht="15" customHeight="1" x14ac:dyDescent="0.3">
      <c r="B42" s="176"/>
      <c r="C42" s="29" t="s">
        <v>115</v>
      </c>
      <c r="D42" s="130">
        <v>180</v>
      </c>
      <c r="E42" s="130">
        <f t="shared" si="41"/>
        <v>43.4</v>
      </c>
      <c r="F42" s="130">
        <f t="shared" si="42"/>
        <v>31</v>
      </c>
      <c r="G42" s="125">
        <f t="shared" si="43"/>
        <v>5.806451612903226</v>
      </c>
      <c r="H42" s="125">
        <f t="shared" si="44"/>
        <v>4.1474654377880187</v>
      </c>
      <c r="I42" s="125">
        <f t="shared" si="45"/>
        <v>1.6589861751152073</v>
      </c>
      <c r="J42" s="130"/>
      <c r="K42" s="130"/>
      <c r="L42" s="130"/>
      <c r="N42" s="130"/>
      <c r="P42" s="29" t="s">
        <v>115</v>
      </c>
      <c r="Q42" s="130">
        <v>180</v>
      </c>
      <c r="R42" s="130">
        <f t="shared" si="46"/>
        <v>33.4</v>
      </c>
      <c r="S42" s="130">
        <f t="shared" si="47"/>
        <v>31</v>
      </c>
      <c r="T42" s="125">
        <f t="shared" si="48"/>
        <v>5.806451612903226</v>
      </c>
      <c r="U42" s="125">
        <f t="shared" si="49"/>
        <v>5.3892215568862278</v>
      </c>
      <c r="V42" s="125">
        <f t="shared" si="50"/>
        <v>0.41723005601699814</v>
      </c>
      <c r="W42" s="130"/>
      <c r="X42" s="130"/>
      <c r="AA42" s="140" t="s">
        <v>115</v>
      </c>
      <c r="AB42" s="136">
        <v>180</v>
      </c>
      <c r="AC42" s="136">
        <f t="shared" si="51"/>
        <v>40.6</v>
      </c>
      <c r="AD42" s="136">
        <f t="shared" si="52"/>
        <v>30</v>
      </c>
      <c r="AE42" s="141">
        <f t="shared" si="53"/>
        <v>6</v>
      </c>
      <c r="AF42" s="141">
        <f t="shared" si="54"/>
        <v>4.4334975369458123</v>
      </c>
      <c r="AG42" s="141">
        <f t="shared" si="55"/>
        <v>1.5665024630541877</v>
      </c>
      <c r="AH42" s="130"/>
    </row>
    <row r="43" spans="2:37" ht="15" customHeight="1" x14ac:dyDescent="0.3">
      <c r="C43" s="29"/>
      <c r="D43" s="130"/>
      <c r="E43" s="130"/>
      <c r="F43" s="130"/>
      <c r="G43" s="125">
        <f t="shared" ref="G43:I43" si="56">SUM(G38:G42)</f>
        <v>29.678979085430697</v>
      </c>
      <c r="H43" s="125">
        <f t="shared" si="56"/>
        <v>22.139505938189725</v>
      </c>
      <c r="I43" s="125">
        <f t="shared" si="56"/>
        <v>7.5394731472409751</v>
      </c>
      <c r="J43" s="130"/>
      <c r="K43" s="130"/>
      <c r="L43" s="130"/>
      <c r="N43" s="130"/>
      <c r="P43" s="29"/>
      <c r="Q43" s="130"/>
      <c r="R43" s="130"/>
      <c r="S43" s="130"/>
      <c r="T43" s="125">
        <f t="shared" ref="T43:V43" si="57">SUM(T38:T42)</f>
        <v>31.806451612903224</v>
      </c>
      <c r="U43" s="125">
        <f t="shared" si="57"/>
        <v>26.358502178833991</v>
      </c>
      <c r="V43" s="125">
        <f t="shared" si="57"/>
        <v>5.4479494340692352</v>
      </c>
      <c r="W43" s="130"/>
      <c r="X43" s="130"/>
      <c r="AA43" s="140"/>
      <c r="AB43" s="136"/>
      <c r="AC43" s="136"/>
      <c r="AD43" s="136"/>
      <c r="AE43" s="141">
        <f t="shared" ref="AE43:AG43" si="58">SUM(AE38:AE42)</f>
        <v>30.177419354838712</v>
      </c>
      <c r="AF43" s="141">
        <f t="shared" si="58"/>
        <v>23.146826771458255</v>
      </c>
      <c r="AG43" s="141">
        <f t="shared" si="58"/>
        <v>7.0305925833804555</v>
      </c>
      <c r="AH43" s="130"/>
    </row>
    <row r="44" spans="2:37" ht="15" customHeight="1" x14ac:dyDescent="0.3">
      <c r="C44" s="29"/>
      <c r="D44" s="130"/>
      <c r="E44" s="130"/>
      <c r="F44" s="130"/>
      <c r="G44" s="125"/>
      <c r="H44" s="125"/>
      <c r="I44" s="125"/>
      <c r="J44" s="130"/>
      <c r="K44" s="130"/>
      <c r="L44" s="130"/>
      <c r="N44" s="130"/>
      <c r="P44" s="29"/>
      <c r="Q44" s="130"/>
      <c r="R44" s="130"/>
      <c r="S44" s="130"/>
      <c r="T44" s="125"/>
      <c r="U44" s="125"/>
      <c r="V44" s="125"/>
      <c r="W44" s="130"/>
      <c r="X44" s="130"/>
      <c r="AA44" s="140"/>
      <c r="AB44" s="136"/>
      <c r="AC44" s="136"/>
      <c r="AD44" s="136"/>
      <c r="AE44" s="141"/>
      <c r="AF44" s="141"/>
      <c r="AG44" s="141"/>
      <c r="AH44" s="130"/>
    </row>
    <row r="45" spans="2:37" ht="15" customHeight="1" x14ac:dyDescent="0.3">
      <c r="C45" s="133" t="s">
        <v>601</v>
      </c>
      <c r="D45" s="130"/>
      <c r="E45" s="130"/>
      <c r="F45" s="130"/>
      <c r="G45" s="125"/>
      <c r="H45" s="125"/>
      <c r="I45" s="125"/>
      <c r="J45" s="130"/>
      <c r="K45" s="130"/>
      <c r="L45" s="130"/>
      <c r="N45" s="130"/>
      <c r="P45" s="29"/>
      <c r="Q45" s="130"/>
      <c r="R45" s="130"/>
      <c r="S45" s="130"/>
      <c r="T45" s="125"/>
      <c r="U45" s="125"/>
      <c r="V45" s="125"/>
      <c r="W45" s="130"/>
      <c r="X45" s="130"/>
      <c r="AA45" s="140"/>
      <c r="AB45" s="136"/>
      <c r="AC45" s="136"/>
      <c r="AD45" s="136"/>
      <c r="AE45" s="141"/>
      <c r="AF45" s="141"/>
      <c r="AG45" s="141"/>
      <c r="AH45" s="130"/>
    </row>
    <row r="46" spans="2:37" ht="15" customHeight="1" x14ac:dyDescent="0.3">
      <c r="B46" s="204" t="s">
        <v>601</v>
      </c>
      <c r="C46" s="128" t="s">
        <v>581</v>
      </c>
      <c r="D46" s="127" t="s">
        <v>184</v>
      </c>
      <c r="E46" s="127" t="s">
        <v>582</v>
      </c>
      <c r="F46" s="127" t="s">
        <v>192</v>
      </c>
      <c r="G46" s="127" t="s">
        <v>196</v>
      </c>
      <c r="H46" s="127" t="s">
        <v>200</v>
      </c>
      <c r="I46" s="127" t="s">
        <v>583</v>
      </c>
      <c r="J46" s="127" t="s">
        <v>206</v>
      </c>
      <c r="K46" s="130"/>
      <c r="L46" s="130"/>
      <c r="N46" s="130"/>
      <c r="P46" s="133" t="s">
        <v>602</v>
      </c>
      <c r="Q46" s="130"/>
      <c r="R46" s="130"/>
      <c r="S46" s="130"/>
      <c r="T46" s="125"/>
      <c r="U46" s="125"/>
      <c r="V46" s="125"/>
      <c r="W46" s="130"/>
      <c r="X46" s="130"/>
      <c r="AA46" s="133" t="s">
        <v>602</v>
      </c>
      <c r="AB46" s="130"/>
      <c r="AC46" s="130"/>
      <c r="AD46" s="130"/>
      <c r="AE46" s="125"/>
      <c r="AF46" s="125"/>
      <c r="AG46" s="125"/>
      <c r="AH46" s="130"/>
    </row>
    <row r="47" spans="2:37" ht="15" customHeight="1" x14ac:dyDescent="0.3">
      <c r="B47" s="176"/>
      <c r="C47" s="29" t="s">
        <v>111</v>
      </c>
      <c r="D47" s="130">
        <f t="shared" ref="D47:J47" si="59">D14*($D$8*((D22/$K22)-1))</f>
        <v>74.799999999999983</v>
      </c>
      <c r="E47" s="130">
        <f t="shared" si="59"/>
        <v>79.500000000000014</v>
      </c>
      <c r="F47" s="130">
        <f t="shared" si="59"/>
        <v>60</v>
      </c>
      <c r="G47" s="130">
        <f t="shared" si="59"/>
        <v>54.999999999999993</v>
      </c>
      <c r="H47" s="130">
        <f t="shared" si="59"/>
        <v>19.499999999999996</v>
      </c>
      <c r="I47" s="130">
        <f t="shared" si="59"/>
        <v>27.200000000000006</v>
      </c>
      <c r="J47" s="130">
        <f t="shared" si="59"/>
        <v>0</v>
      </c>
      <c r="K47" s="130"/>
      <c r="L47" s="130"/>
      <c r="N47" s="130"/>
      <c r="P47" s="128" t="s">
        <v>584</v>
      </c>
      <c r="Q47" s="127" t="s">
        <v>184</v>
      </c>
      <c r="R47" s="127" t="s">
        <v>582</v>
      </c>
      <c r="S47" s="127" t="s">
        <v>192</v>
      </c>
      <c r="T47" s="127" t="s">
        <v>196</v>
      </c>
      <c r="U47" s="127" t="s">
        <v>200</v>
      </c>
      <c r="V47" s="127" t="s">
        <v>583</v>
      </c>
      <c r="W47" s="127" t="s">
        <v>206</v>
      </c>
      <c r="X47" s="130"/>
      <c r="AA47" s="128" t="s">
        <v>584</v>
      </c>
      <c r="AB47" s="127" t="s">
        <v>184</v>
      </c>
      <c r="AC47" s="127" t="s">
        <v>582</v>
      </c>
      <c r="AD47" s="127" t="s">
        <v>192</v>
      </c>
      <c r="AE47" s="127" t="s">
        <v>196</v>
      </c>
      <c r="AF47" s="127" t="s">
        <v>200</v>
      </c>
      <c r="AG47" s="127" t="s">
        <v>583</v>
      </c>
      <c r="AH47" s="127" t="s">
        <v>206</v>
      </c>
    </row>
    <row r="48" spans="2:37" ht="15" customHeight="1" x14ac:dyDescent="0.3">
      <c r="B48" s="176"/>
      <c r="C48" s="29" t="s">
        <v>112</v>
      </c>
      <c r="D48" s="130">
        <f t="shared" ref="D48:J48" si="60">D15*($D$8*((D23/$K23)-1))</f>
        <v>314.03846153846149</v>
      </c>
      <c r="E48" s="130">
        <f t="shared" si="60"/>
        <v>281.34615384615387</v>
      </c>
      <c r="F48" s="130">
        <f t="shared" si="60"/>
        <v>284.03846153846155</v>
      </c>
      <c r="G48" s="130">
        <f t="shared" si="60"/>
        <v>216.41025641025649</v>
      </c>
      <c r="H48" s="130">
        <f t="shared" si="60"/>
        <v>101.28205128205127</v>
      </c>
      <c r="I48" s="130">
        <f t="shared" si="60"/>
        <v>18.269230769230756</v>
      </c>
      <c r="J48" s="130">
        <f t="shared" si="60"/>
        <v>0</v>
      </c>
      <c r="K48" s="130"/>
      <c r="L48" s="130"/>
      <c r="N48" s="130"/>
      <c r="P48" s="29" t="s">
        <v>111</v>
      </c>
      <c r="Q48" s="130">
        <f>Q14*($E$8*((Q22/$X22)-1))</f>
        <v>0</v>
      </c>
      <c r="R48" s="130">
        <f t="shared" ref="R48:W48" si="61">R14*($E$8*((R22/$X22)-1))</f>
        <v>0</v>
      </c>
      <c r="S48" s="130">
        <f t="shared" si="61"/>
        <v>1.8700000000000057</v>
      </c>
      <c r="T48" s="130">
        <f t="shared" si="61"/>
        <v>0</v>
      </c>
      <c r="U48" s="130">
        <f t="shared" si="61"/>
        <v>0</v>
      </c>
      <c r="V48" s="130">
        <f t="shared" si="61"/>
        <v>0</v>
      </c>
      <c r="W48" s="130">
        <f t="shared" si="61"/>
        <v>0</v>
      </c>
      <c r="X48" s="130"/>
      <c r="AA48" s="29" t="s">
        <v>111</v>
      </c>
      <c r="AB48" s="130">
        <f>AB14*($F$8*((AB22/$AI22)-1))</f>
        <v>5.4166666666666687</v>
      </c>
      <c r="AC48" s="130">
        <f t="shared" ref="AC48:AH48" si="62">AC14*($F$8*((AC22/$AI22)-1))</f>
        <v>4.3333333333333321</v>
      </c>
      <c r="AD48" s="130">
        <f t="shared" si="62"/>
        <v>3.6666666666666661</v>
      </c>
      <c r="AE48" s="130">
        <f t="shared" si="62"/>
        <v>2.7500000000000027</v>
      </c>
      <c r="AF48" s="130">
        <f t="shared" si="62"/>
        <v>1.333333333333333</v>
      </c>
      <c r="AG48" s="130">
        <f t="shared" si="62"/>
        <v>1.9999999999999996</v>
      </c>
      <c r="AH48" s="130">
        <f t="shared" si="62"/>
        <v>0</v>
      </c>
    </row>
    <row r="49" spans="2:35" ht="15" customHeight="1" x14ac:dyDescent="0.3">
      <c r="B49" s="176"/>
      <c r="C49" s="29" t="s">
        <v>113</v>
      </c>
      <c r="D49" s="130">
        <f t="shared" ref="D49:J49" si="63">D16*($D$8*((D24/$K24)-1))</f>
        <v>201.99999999999994</v>
      </c>
      <c r="E49" s="130">
        <f t="shared" si="63"/>
        <v>161.66666666666674</v>
      </c>
      <c r="F49" s="130">
        <f t="shared" si="63"/>
        <v>114.66666666666664</v>
      </c>
      <c r="G49" s="130">
        <f t="shared" si="63"/>
        <v>28.666666666666757</v>
      </c>
      <c r="H49" s="130">
        <f t="shared" si="63"/>
        <v>63.500000000000057</v>
      </c>
      <c r="I49" s="130">
        <f t="shared" si="63"/>
        <v>90.000000000000043</v>
      </c>
      <c r="J49" s="130">
        <f t="shared" si="63"/>
        <v>0</v>
      </c>
      <c r="K49" s="130"/>
      <c r="L49" s="130"/>
      <c r="N49" s="130"/>
      <c r="P49" s="29" t="s">
        <v>112</v>
      </c>
      <c r="Q49" s="130">
        <f t="shared" ref="Q49:W52" si="64">Q15*($E$8*((Q23/$X23)-1))</f>
        <v>167.30999999999997</v>
      </c>
      <c r="R49" s="130">
        <f t="shared" si="64"/>
        <v>175.55999999999997</v>
      </c>
      <c r="S49" s="130">
        <f t="shared" si="64"/>
        <v>84.699999999999974</v>
      </c>
      <c r="T49" s="130">
        <f t="shared" si="64"/>
        <v>138.38</v>
      </c>
      <c r="U49" s="130">
        <f t="shared" si="64"/>
        <v>113.95999999999997</v>
      </c>
      <c r="V49" s="130">
        <f t="shared" si="64"/>
        <v>0</v>
      </c>
      <c r="W49" s="130">
        <f t="shared" si="64"/>
        <v>13.860000000000012</v>
      </c>
      <c r="X49" s="130"/>
      <c r="AA49" s="29" t="s">
        <v>112</v>
      </c>
      <c r="AB49" s="130">
        <f t="shared" ref="AB49:AH52" si="65">AB15*($F$8*((AB23/$AI23)-1))</f>
        <v>48.750000000000007</v>
      </c>
      <c r="AC49" s="130">
        <f t="shared" si="65"/>
        <v>39.375</v>
      </c>
      <c r="AD49" s="130">
        <f t="shared" si="65"/>
        <v>40</v>
      </c>
      <c r="AE49" s="130">
        <f t="shared" si="65"/>
        <v>34.312500000000014</v>
      </c>
      <c r="AF49" s="130">
        <f t="shared" si="65"/>
        <v>23.625000000000007</v>
      </c>
      <c r="AG49" s="130">
        <f t="shared" si="65"/>
        <v>15.374999999999991</v>
      </c>
      <c r="AH49" s="130">
        <f t="shared" si="65"/>
        <v>0</v>
      </c>
    </row>
    <row r="50" spans="2:35" ht="15" customHeight="1" x14ac:dyDescent="0.3">
      <c r="B50" s="176"/>
      <c r="C50" s="29" t="s">
        <v>114</v>
      </c>
      <c r="D50" s="130">
        <f t="shared" ref="D50:J50" si="66">D17*($D$8*((D25/$K25)-1))</f>
        <v>473.85714285714289</v>
      </c>
      <c r="E50" s="130">
        <f t="shared" si="66"/>
        <v>424</v>
      </c>
      <c r="F50" s="130">
        <f t="shared" si="66"/>
        <v>358.42857142857144</v>
      </c>
      <c r="G50" s="130">
        <f t="shared" si="66"/>
        <v>151.64285714285714</v>
      </c>
      <c r="H50" s="130">
        <f t="shared" si="66"/>
        <v>53.214285714285694</v>
      </c>
      <c r="I50" s="130">
        <f t="shared" si="66"/>
        <v>24.857142857142865</v>
      </c>
      <c r="J50" s="130">
        <f t="shared" si="66"/>
        <v>0</v>
      </c>
      <c r="K50" s="130"/>
      <c r="L50" s="130"/>
      <c r="N50" s="130"/>
      <c r="P50" s="29" t="s">
        <v>113</v>
      </c>
      <c r="Q50" s="130">
        <f t="shared" si="64"/>
        <v>50.050000000000026</v>
      </c>
      <c r="R50" s="130">
        <f t="shared" si="64"/>
        <v>9.4600000000000293</v>
      </c>
      <c r="S50" s="130">
        <f t="shared" si="64"/>
        <v>0</v>
      </c>
      <c r="T50" s="130">
        <f t="shared" si="64"/>
        <v>0</v>
      </c>
      <c r="U50" s="130">
        <f t="shared" si="64"/>
        <v>0</v>
      </c>
      <c r="V50" s="130">
        <f t="shared" si="64"/>
        <v>0</v>
      </c>
      <c r="W50" s="130">
        <f t="shared" si="64"/>
        <v>5.7200000000000175</v>
      </c>
      <c r="X50" s="130"/>
      <c r="AA50" s="29" t="s">
        <v>113</v>
      </c>
      <c r="AB50" s="130">
        <f t="shared" si="65"/>
        <v>19.677419354838726</v>
      </c>
      <c r="AC50" s="130">
        <f t="shared" si="65"/>
        <v>14.516129032258052</v>
      </c>
      <c r="AD50" s="130">
        <f t="shared" si="65"/>
        <v>13.548387096774182</v>
      </c>
      <c r="AE50" s="130">
        <f t="shared" si="65"/>
        <v>8.3870967741935409</v>
      </c>
      <c r="AF50" s="130">
        <f t="shared" si="65"/>
        <v>0</v>
      </c>
      <c r="AG50" s="130">
        <f t="shared" si="65"/>
        <v>3.1451612903225779</v>
      </c>
      <c r="AH50" s="130">
        <f t="shared" si="65"/>
        <v>0</v>
      </c>
    </row>
    <row r="51" spans="2:35" ht="15" customHeight="1" x14ac:dyDescent="0.3">
      <c r="B51" s="176"/>
      <c r="C51" s="29" t="s">
        <v>115</v>
      </c>
      <c r="D51" s="130">
        <f t="shared" ref="D51:J51" si="67">D18*($D$8*((D26/$K26)-1))</f>
        <v>383.06451612903226</v>
      </c>
      <c r="E51" s="130">
        <f t="shared" si="67"/>
        <v>298.38709677419359</v>
      </c>
      <c r="F51" s="130">
        <f t="shared" si="67"/>
        <v>187.66129032258067</v>
      </c>
      <c r="G51" s="130">
        <f t="shared" si="67"/>
        <v>43.306451612903189</v>
      </c>
      <c r="H51" s="130">
        <f t="shared" si="67"/>
        <v>9.596774193548379</v>
      </c>
      <c r="I51" s="130">
        <f t="shared" si="67"/>
        <v>4.6774193548387055</v>
      </c>
      <c r="J51" s="130">
        <f t="shared" si="67"/>
        <v>0</v>
      </c>
      <c r="K51" s="130"/>
      <c r="L51" s="130"/>
      <c r="N51" s="130"/>
      <c r="P51" s="29" t="s">
        <v>114</v>
      </c>
      <c r="Q51" s="130">
        <f t="shared" si="64"/>
        <v>174.24</v>
      </c>
      <c r="R51" s="130">
        <f t="shared" si="64"/>
        <v>102.85</v>
      </c>
      <c r="S51" s="130">
        <f t="shared" si="64"/>
        <v>147.84000000000003</v>
      </c>
      <c r="T51" s="130">
        <f t="shared" si="64"/>
        <v>138.6</v>
      </c>
      <c r="U51" s="130">
        <f t="shared" si="64"/>
        <v>82.17</v>
      </c>
      <c r="V51" s="130">
        <f t="shared" si="64"/>
        <v>27.059999999999992</v>
      </c>
      <c r="W51" s="130">
        <f t="shared" si="64"/>
        <v>0</v>
      </c>
      <c r="X51" s="130"/>
      <c r="AA51" s="29" t="s">
        <v>114</v>
      </c>
      <c r="AB51" s="130">
        <f t="shared" si="65"/>
        <v>97.5</v>
      </c>
      <c r="AC51" s="130">
        <f t="shared" si="65"/>
        <v>91</v>
      </c>
      <c r="AD51" s="130">
        <f t="shared" si="65"/>
        <v>66</v>
      </c>
      <c r="AE51" s="130">
        <f t="shared" si="65"/>
        <v>66</v>
      </c>
      <c r="AF51" s="130">
        <f t="shared" si="65"/>
        <v>55.000000000000007</v>
      </c>
      <c r="AG51" s="130">
        <f t="shared" si="65"/>
        <v>24.166666666666661</v>
      </c>
      <c r="AH51" s="130">
        <f t="shared" si="65"/>
        <v>0</v>
      </c>
    </row>
    <row r="52" spans="2:35" ht="15" customHeight="1" x14ac:dyDescent="0.3">
      <c r="C52" s="29"/>
      <c r="D52" s="130"/>
      <c r="E52" s="130"/>
      <c r="F52" s="130"/>
      <c r="G52" s="130"/>
      <c r="H52" s="130"/>
      <c r="I52" s="130"/>
      <c r="J52" s="130"/>
      <c r="K52" s="130"/>
      <c r="L52" s="130"/>
      <c r="N52" s="130"/>
      <c r="P52" s="29" t="s">
        <v>115</v>
      </c>
      <c r="Q52" s="130">
        <f t="shared" si="64"/>
        <v>25.335483870967746</v>
      </c>
      <c r="R52" s="130">
        <f t="shared" si="64"/>
        <v>10.858064516129023</v>
      </c>
      <c r="S52" s="130">
        <f t="shared" si="64"/>
        <v>6.5999999999999934</v>
      </c>
      <c r="T52" s="130">
        <f t="shared" si="64"/>
        <v>0</v>
      </c>
      <c r="U52" s="130">
        <f t="shared" si="64"/>
        <v>0</v>
      </c>
      <c r="V52" s="130">
        <f t="shared" si="64"/>
        <v>2.2354838709677396</v>
      </c>
      <c r="W52" s="130">
        <f t="shared" si="64"/>
        <v>0</v>
      </c>
      <c r="X52" s="130"/>
      <c r="AA52" s="29" t="s">
        <v>115</v>
      </c>
      <c r="AB52" s="130">
        <f t="shared" si="65"/>
        <v>33.583333333333336</v>
      </c>
      <c r="AC52" s="130">
        <f t="shared" si="65"/>
        <v>31.999999999999993</v>
      </c>
      <c r="AD52" s="130">
        <f t="shared" si="65"/>
        <v>25.833333333333329</v>
      </c>
      <c r="AE52" s="130">
        <f t="shared" si="65"/>
        <v>24.166666666666661</v>
      </c>
      <c r="AF52" s="130">
        <f t="shared" si="65"/>
        <v>16.666666666666664</v>
      </c>
      <c r="AG52" s="130">
        <f t="shared" si="65"/>
        <v>8.7500000000000036</v>
      </c>
      <c r="AH52" s="130">
        <f t="shared" si="65"/>
        <v>0</v>
      </c>
    </row>
    <row r="53" spans="2:35" ht="15" customHeight="1" x14ac:dyDescent="0.3">
      <c r="B53" s="129"/>
      <c r="C53" s="133" t="s">
        <v>603</v>
      </c>
    </row>
    <row r="54" spans="2:35" ht="15" customHeight="1" x14ac:dyDescent="0.3">
      <c r="B54" s="204" t="s">
        <v>604</v>
      </c>
      <c r="C54" s="128" t="s">
        <v>581</v>
      </c>
      <c r="D54" s="127" t="s">
        <v>184</v>
      </c>
      <c r="E54" s="127" t="s">
        <v>582</v>
      </c>
      <c r="F54" s="127" t="s">
        <v>192</v>
      </c>
      <c r="G54" s="127" t="s">
        <v>196</v>
      </c>
      <c r="H54" s="127" t="s">
        <v>200</v>
      </c>
      <c r="I54" s="127" t="s">
        <v>583</v>
      </c>
      <c r="J54" s="127" t="s">
        <v>206</v>
      </c>
      <c r="K54" s="127" t="s">
        <v>162</v>
      </c>
      <c r="L54" s="127"/>
      <c r="N54" s="127"/>
      <c r="P54" s="128" t="s">
        <v>584</v>
      </c>
      <c r="Q54" s="127" t="s">
        <v>184</v>
      </c>
      <c r="R54" s="127" t="s">
        <v>582</v>
      </c>
      <c r="S54" s="127" t="s">
        <v>192</v>
      </c>
      <c r="T54" s="127" t="s">
        <v>196</v>
      </c>
      <c r="U54" s="127" t="s">
        <v>200</v>
      </c>
      <c r="V54" s="127" t="s">
        <v>583</v>
      </c>
      <c r="W54" s="127" t="s">
        <v>206</v>
      </c>
      <c r="X54" s="127"/>
      <c r="Y54" s="127" t="s">
        <v>162</v>
      </c>
      <c r="AA54" s="128" t="s">
        <v>585</v>
      </c>
      <c r="AB54" s="127" t="s">
        <v>184</v>
      </c>
      <c r="AC54" s="127" t="s">
        <v>582</v>
      </c>
      <c r="AD54" s="127" t="s">
        <v>192</v>
      </c>
      <c r="AE54" s="127" t="s">
        <v>196</v>
      </c>
      <c r="AF54" s="127" t="s">
        <v>200</v>
      </c>
      <c r="AG54" s="127" t="s">
        <v>583</v>
      </c>
      <c r="AH54" s="127" t="s">
        <v>206</v>
      </c>
      <c r="AI54" s="127" t="s">
        <v>162</v>
      </c>
    </row>
    <row r="55" spans="2:35" ht="15" customHeight="1" x14ac:dyDescent="0.3">
      <c r="B55" s="176"/>
      <c r="C55" s="142" t="s">
        <v>111</v>
      </c>
      <c r="D55" s="125">
        <f>'Monday Est.'!H26</f>
        <v>349.8</v>
      </c>
      <c r="E55" s="125">
        <f>'Tuesday Est.'!H26</f>
        <v>421.35</v>
      </c>
      <c r="F55" s="125">
        <f>'Wednesday Est.'!H16</f>
        <v>397.5</v>
      </c>
      <c r="G55" s="125">
        <f>'Thursday Est.'!H16</f>
        <v>397.5</v>
      </c>
      <c r="H55" s="125">
        <f>'Friday Est'!H16</f>
        <v>310.05</v>
      </c>
      <c r="I55" s="125">
        <f>'Saturday Est.'!H16</f>
        <v>270.3</v>
      </c>
      <c r="J55" s="125">
        <f>'Sunday Est.'!H16</f>
        <v>230.55</v>
      </c>
      <c r="K55" s="143">
        <f t="shared" ref="K55:K59" si="68">SUM(D55:J55)</f>
        <v>2377.0500000000002</v>
      </c>
      <c r="L55" s="125"/>
      <c r="N55" s="143"/>
      <c r="P55" s="142" t="s">
        <v>111</v>
      </c>
      <c r="Q55" s="144">
        <f>'Monday Est.'!Q23</f>
        <v>198.72764999999998</v>
      </c>
      <c r="R55" s="130">
        <f>'Tuesday Est.'!Q16</f>
        <v>177.80894999999998</v>
      </c>
      <c r="S55" s="130">
        <f>'Wednesday Est.'!Q16</f>
        <v>177.80894999999998</v>
      </c>
      <c r="T55" s="125">
        <f>'Thursday Est.'!R16</f>
        <v>146.43089999999998</v>
      </c>
      <c r="U55" s="125">
        <f>'Friday Est'!Q16</f>
        <v>146.43089999999998</v>
      </c>
      <c r="V55" s="125">
        <f>'Saturday Est.'!Q16</f>
        <v>146.43089999999998</v>
      </c>
      <c r="W55" s="125">
        <f>'Sunday Est.'!Q16</f>
        <v>135.97154999999998</v>
      </c>
      <c r="X55" s="125"/>
      <c r="Y55" s="145">
        <f t="shared" ref="Y55:Y59" si="69">SUM(Q55:W55)</f>
        <v>1129.6097999999997</v>
      </c>
      <c r="AA55" s="29" t="s">
        <v>111</v>
      </c>
      <c r="AB55" s="146">
        <f>'Monday Est.'!Z21</f>
        <v>102.96</v>
      </c>
      <c r="AC55" s="146">
        <f>'Tuesday Est.'!Z16</f>
        <v>102.96</v>
      </c>
      <c r="AD55" s="130">
        <f>'Wednesday Est.'!Z16</f>
        <v>87.11999999999999</v>
      </c>
      <c r="AE55" s="125">
        <f>'Thursday Est.'!AA16</f>
        <v>87.11999999999999</v>
      </c>
      <c r="AF55" s="125">
        <f>'Friday Est'!Z16</f>
        <v>63.359999999999992</v>
      </c>
      <c r="AG55" s="125">
        <f>'Saturday Est.'!Z16</f>
        <v>95.039999999999992</v>
      </c>
      <c r="AH55" s="125">
        <f>'Sunday Est.'!Z16</f>
        <v>63.359999999999992</v>
      </c>
      <c r="AI55" s="145">
        <f t="shared" ref="AI55:AI59" si="70">SUM(AB55:AH55)</f>
        <v>601.91999999999996</v>
      </c>
    </row>
    <row r="56" spans="2:35" ht="15" customHeight="1" x14ac:dyDescent="0.3">
      <c r="B56" s="176"/>
      <c r="C56" s="142" t="s">
        <v>112</v>
      </c>
      <c r="D56" s="125">
        <f>'Monday Est.'!H40</f>
        <v>1693.3500000000001</v>
      </c>
      <c r="E56" s="125">
        <f>'Tuesday Est.'!H41</f>
        <v>1661.5500000000002</v>
      </c>
      <c r="F56" s="125">
        <f>'Wednesday Est.'!H31</f>
        <v>1677.45</v>
      </c>
      <c r="G56" s="125">
        <f>'Thursday Est.'!H31</f>
        <v>1677.45</v>
      </c>
      <c r="H56" s="125">
        <f>'Friday Est'!H31</f>
        <v>1256.1000000000001</v>
      </c>
      <c r="I56" s="125">
        <f>'Saturday Est.'!H32</f>
        <v>755.25</v>
      </c>
      <c r="J56" s="125">
        <f>'Sunday Est.'!H31</f>
        <v>389.55</v>
      </c>
      <c r="K56" s="143">
        <f t="shared" si="68"/>
        <v>9110.7000000000007</v>
      </c>
      <c r="L56" s="125"/>
      <c r="N56" s="143"/>
      <c r="P56" s="142" t="s">
        <v>112</v>
      </c>
      <c r="Q56" s="144">
        <f>'Monday Est.'!Q37</f>
        <v>815.82929999999988</v>
      </c>
      <c r="R56" s="143">
        <f>'Tuesday Est.'!Q31</f>
        <v>794.91059999999993</v>
      </c>
      <c r="S56" s="130">
        <f>'Wednesday Est.'!Q31</f>
        <v>805.3699499999999</v>
      </c>
      <c r="T56" s="125">
        <f>'Thursday Est.'!R31</f>
        <v>773.99189999999987</v>
      </c>
      <c r="U56" s="125">
        <f>'Friday Est'!Q31</f>
        <v>773.99189999999987</v>
      </c>
      <c r="V56" s="125">
        <f>'Saturday Est.'!Q32</f>
        <v>512.50814999999989</v>
      </c>
      <c r="W56" s="125">
        <f>'Sunday Est.'!Q31</f>
        <v>439.29269999999997</v>
      </c>
      <c r="X56" s="125"/>
      <c r="Y56" s="145">
        <f t="shared" si="69"/>
        <v>4915.8944999999994</v>
      </c>
      <c r="AA56" s="29" t="s">
        <v>112</v>
      </c>
      <c r="AB56" s="146">
        <f>'Monday Est.'!Z35</f>
        <v>514.79999999999995</v>
      </c>
      <c r="AC56" s="121">
        <f>'Tuesday Est.'!Z31</f>
        <v>498.96</v>
      </c>
      <c r="AD56" s="130">
        <f>'Wednesday Est.'!Z31</f>
        <v>506.87999999999994</v>
      </c>
      <c r="AE56" s="125">
        <f>'Thursday Est.'!AA31</f>
        <v>483.11999999999995</v>
      </c>
      <c r="AF56" s="125">
        <f>'Friday Est'!Z31</f>
        <v>427.67999999999995</v>
      </c>
      <c r="AG56" s="125">
        <f>'Saturday Est.'!Z32</f>
        <v>324.71999999999997</v>
      </c>
      <c r="AH56" s="125">
        <f>'Sunday Est.'!Z31</f>
        <v>253.43999999999997</v>
      </c>
      <c r="AI56" s="145">
        <f t="shared" si="70"/>
        <v>3009.5999999999995</v>
      </c>
    </row>
    <row r="57" spans="2:35" ht="15" customHeight="1" x14ac:dyDescent="0.3">
      <c r="B57" s="176"/>
      <c r="C57" s="142" t="s">
        <v>113</v>
      </c>
      <c r="D57" s="125">
        <f>'Monday Est.'!H54</f>
        <v>3211.8</v>
      </c>
      <c r="E57" s="125">
        <f>'Tuesday Est.'!H56</f>
        <v>3084.6000000000004</v>
      </c>
      <c r="F57" s="125">
        <f>'Wednesday Est.'!H46</f>
        <v>2734.8</v>
      </c>
      <c r="G57" s="125">
        <f>'Thursday Est.'!H46</f>
        <v>2734.8</v>
      </c>
      <c r="H57" s="125">
        <f>'Friday Est'!H46</f>
        <v>2019.3000000000002</v>
      </c>
      <c r="I57" s="125">
        <f>'Saturday Est.'!H48</f>
        <v>1717.2</v>
      </c>
      <c r="J57" s="125">
        <f>'Sunday Est.'!H46</f>
        <v>397.5</v>
      </c>
      <c r="K57" s="143">
        <f t="shared" si="68"/>
        <v>15900</v>
      </c>
      <c r="L57" s="125"/>
      <c r="N57" s="143"/>
      <c r="P57" s="142" t="s">
        <v>113</v>
      </c>
      <c r="Q57" s="144">
        <f>'Monday Est.'!Q51</f>
        <v>951.80084999999997</v>
      </c>
      <c r="R57" s="143">
        <f>'Tuesday Est.'!Q46</f>
        <v>899.50409999999999</v>
      </c>
      <c r="S57" s="130">
        <f>'Wednesday Est.'!Q46</f>
        <v>909.96344999999985</v>
      </c>
      <c r="T57" s="125">
        <f>'Thursday Est.'!R46</f>
        <v>909.96344999999985</v>
      </c>
      <c r="U57" s="125">
        <f>'Friday Est'!Q46</f>
        <v>889.04474999999991</v>
      </c>
      <c r="V57" s="125">
        <f>'Saturday Est.'!Q48</f>
        <v>638.02034999999989</v>
      </c>
      <c r="W57" s="125">
        <f>'Sunday Est.'!Q46</f>
        <v>543.88619999999992</v>
      </c>
      <c r="X57" s="125"/>
      <c r="Y57" s="145">
        <f t="shared" si="69"/>
        <v>5742.1831499999989</v>
      </c>
      <c r="AA57" s="29" t="s">
        <v>113</v>
      </c>
      <c r="AB57" s="146">
        <f>'Monday Est.'!Z49</f>
        <v>483.11999999999995</v>
      </c>
      <c r="AC57" s="121">
        <f>'Tuesday Est.'!Z46</f>
        <v>475.19999999999993</v>
      </c>
      <c r="AD57" s="130">
        <f>'Wednesday Est.'!Z46</f>
        <v>443.52</v>
      </c>
      <c r="AE57" s="125">
        <f>'Thursday Est.'!AA46</f>
        <v>411.84</v>
      </c>
      <c r="AF57" s="125">
        <f>'Friday Est'!Z46</f>
        <v>380.15999999999997</v>
      </c>
      <c r="AG57" s="125">
        <f>'Saturday Est.'!Z48</f>
        <v>308.88</v>
      </c>
      <c r="AH57" s="125">
        <f>'Sunday Est.'!Z46</f>
        <v>245.51999999999998</v>
      </c>
      <c r="AI57" s="145">
        <f t="shared" si="70"/>
        <v>2748.24</v>
      </c>
    </row>
    <row r="58" spans="2:35" ht="15" customHeight="1" x14ac:dyDescent="0.3">
      <c r="B58" s="176"/>
      <c r="C58" s="142" t="s">
        <v>114</v>
      </c>
      <c r="D58" s="125">
        <f>'Monday Est.'!H69</f>
        <v>1701.3000000000002</v>
      </c>
      <c r="E58" s="125">
        <f>'Tuesday Est.'!H71</f>
        <v>1685.4</v>
      </c>
      <c r="F58" s="125">
        <f>'Wednesday Est.'!H61</f>
        <v>1534.3500000000001</v>
      </c>
      <c r="G58" s="125">
        <f>'Thursday Est.'!H61</f>
        <v>1534.3500000000001</v>
      </c>
      <c r="H58" s="125">
        <f>'Friday Est'!H61</f>
        <v>1184.55</v>
      </c>
      <c r="I58" s="125">
        <f>'Saturday Est.'!H64</f>
        <v>461.1</v>
      </c>
      <c r="J58" s="125">
        <f>'Sunday Est.'!H61</f>
        <v>349.8</v>
      </c>
      <c r="K58" s="143">
        <f t="shared" si="68"/>
        <v>8450.85</v>
      </c>
      <c r="L58" s="125"/>
      <c r="N58" s="143"/>
      <c r="P58" s="142" t="s">
        <v>114</v>
      </c>
      <c r="Q58" s="144">
        <f>'Monday Est.'!Q66</f>
        <v>920.42279999999982</v>
      </c>
      <c r="R58" s="143">
        <f>'Tuesday Est.'!Q61</f>
        <v>889.04474999999991</v>
      </c>
      <c r="S58" s="130">
        <f>'Wednesday Est.'!Q61</f>
        <v>878.58539999999994</v>
      </c>
      <c r="T58" s="125">
        <f>'Thursday Est.'!R61</f>
        <v>878.58539999999994</v>
      </c>
      <c r="U58" s="125">
        <f>'Friday Est'!Q61</f>
        <v>868.12604999999985</v>
      </c>
      <c r="V58" s="125">
        <f>'Saturday Est.'!Q64</f>
        <v>428.83334999999994</v>
      </c>
      <c r="W58" s="125">
        <f>'Sunday Est.'!Q61</f>
        <v>376.53659999999996</v>
      </c>
      <c r="X58" s="125"/>
      <c r="Y58" s="145">
        <f t="shared" si="69"/>
        <v>5240.1343500000003</v>
      </c>
      <c r="AA58" s="29" t="s">
        <v>114</v>
      </c>
      <c r="AB58" s="146">
        <f>'Monday Est.'!Z64</f>
        <v>308.88</v>
      </c>
      <c r="AC58" s="121">
        <f>'Tuesday Est.'!Z61</f>
        <v>308.88</v>
      </c>
      <c r="AD58" s="130">
        <f>'Wednesday Est.'!Z61</f>
        <v>261.35999999999996</v>
      </c>
      <c r="AE58" s="125">
        <f>'Thursday Est.'!AA61</f>
        <v>261.35999999999996</v>
      </c>
      <c r="AF58" s="125">
        <f>'Friday Est'!Z61</f>
        <v>237.59999999999997</v>
      </c>
      <c r="AG58" s="125">
        <f>'Saturday Est.'!Z64</f>
        <v>229.67999999999998</v>
      </c>
      <c r="AH58" s="125">
        <f>'Sunday Est.'!Z61</f>
        <v>197.99999999999997</v>
      </c>
      <c r="AI58" s="145">
        <f t="shared" si="70"/>
        <v>1805.7599999999998</v>
      </c>
    </row>
    <row r="59" spans="2:35" ht="15" customHeight="1" x14ac:dyDescent="0.3">
      <c r="B59" s="176"/>
      <c r="C59" s="142" t="s">
        <v>115</v>
      </c>
      <c r="D59" s="125">
        <f>'Monday Est.'!H83</f>
        <v>1510.5</v>
      </c>
      <c r="E59" s="125">
        <f>'Tuesday Est.'!H86</f>
        <v>1470.75</v>
      </c>
      <c r="F59" s="125">
        <f>'Wednesday Est.'!H76</f>
        <v>1423.0500000000002</v>
      </c>
      <c r="G59" s="125">
        <f>'Thursday Est.'!H76</f>
        <v>1423.0500000000002</v>
      </c>
      <c r="H59" s="125">
        <f>'Friday Est'!H76</f>
        <v>946.05000000000007</v>
      </c>
      <c r="I59" s="125">
        <f>'Saturday Est.'!H80</f>
        <v>230.55</v>
      </c>
      <c r="J59" s="125">
        <f>'Sunday Est.'!H76</f>
        <v>198.75</v>
      </c>
      <c r="K59" s="143">
        <f t="shared" si="68"/>
        <v>7202.7000000000007</v>
      </c>
      <c r="L59" s="125"/>
      <c r="N59" s="143"/>
      <c r="P59" s="142" t="s">
        <v>115</v>
      </c>
      <c r="Q59" s="144">
        <f>'Monday Est.'!Q80</f>
        <v>355.61789999999996</v>
      </c>
      <c r="R59" s="143">
        <f>'Tuesday Est.'!Q76</f>
        <v>355.61789999999996</v>
      </c>
      <c r="S59" s="130">
        <f>'Wednesday Est.'!Q76</f>
        <v>324.23984999999999</v>
      </c>
      <c r="T59" s="125">
        <f>'Thursday Est.'!R76</f>
        <v>303.32114999999993</v>
      </c>
      <c r="U59" s="125">
        <f>'Friday Est'!Q76</f>
        <v>261.48374999999999</v>
      </c>
      <c r="V59" s="125">
        <f>'Saturday Est.'!Q80</f>
        <v>219.64634999999998</v>
      </c>
      <c r="W59" s="125">
        <f>'Sunday Est.'!Q76</f>
        <v>188.26829999999998</v>
      </c>
      <c r="X59" s="125"/>
      <c r="Y59" s="145">
        <f t="shared" si="69"/>
        <v>2008.1951999999999</v>
      </c>
      <c r="AA59" s="29" t="s">
        <v>115</v>
      </c>
      <c r="AB59" s="146">
        <f>'Monday Est.'!Z78</f>
        <v>245.51999999999998</v>
      </c>
      <c r="AC59" s="121">
        <f>'Tuesday Est.'!Z76</f>
        <v>253.43999999999997</v>
      </c>
      <c r="AD59" s="130">
        <f>'Wednesday Est.'!Z76</f>
        <v>245.51999999999998</v>
      </c>
      <c r="AE59" s="125">
        <f>'Thursday Est.'!AA76</f>
        <v>229.67999999999998</v>
      </c>
      <c r="AF59" s="125">
        <f>'Friday Est'!Z76</f>
        <v>197.99999999999997</v>
      </c>
      <c r="AG59" s="125">
        <f>'Saturday Est.'!Z80</f>
        <v>166.32</v>
      </c>
      <c r="AH59" s="125">
        <f>'Sunday Est.'!Z76</f>
        <v>142.55999999999997</v>
      </c>
      <c r="AI59" s="145">
        <f t="shared" si="70"/>
        <v>1481.0399999999997</v>
      </c>
    </row>
    <row r="60" spans="2:35" ht="15" customHeight="1" x14ac:dyDescent="0.3">
      <c r="B60" s="129"/>
      <c r="D60" s="125"/>
      <c r="E60" s="125"/>
      <c r="F60" s="125"/>
      <c r="G60" s="125"/>
      <c r="H60" s="125"/>
      <c r="I60" s="125"/>
      <c r="J60" s="125"/>
      <c r="L60" s="125"/>
      <c r="Y60" s="145"/>
      <c r="AI60" s="145"/>
    </row>
    <row r="61" spans="2:35" ht="15" customHeight="1" x14ac:dyDescent="0.3">
      <c r="B61" s="129"/>
      <c r="C61" s="133" t="s">
        <v>605</v>
      </c>
      <c r="D61" s="125"/>
      <c r="E61" s="125"/>
      <c r="F61" s="125"/>
      <c r="G61" s="125"/>
      <c r="H61" s="125"/>
      <c r="I61" s="125"/>
      <c r="J61" s="125"/>
      <c r="L61" s="125"/>
      <c r="Y61" s="145"/>
      <c r="AI61" s="145"/>
    </row>
    <row r="62" spans="2:35" ht="15" customHeight="1" x14ac:dyDescent="0.3">
      <c r="B62" s="204" t="s">
        <v>606</v>
      </c>
      <c r="C62" s="128" t="s">
        <v>581</v>
      </c>
      <c r="D62" s="147" t="s">
        <v>184</v>
      </c>
      <c r="E62" s="147" t="s">
        <v>582</v>
      </c>
      <c r="F62" s="147" t="s">
        <v>192</v>
      </c>
      <c r="G62" s="147" t="s">
        <v>196</v>
      </c>
      <c r="H62" s="147" t="s">
        <v>200</v>
      </c>
      <c r="I62" s="147" t="s">
        <v>583</v>
      </c>
      <c r="J62" s="147" t="s">
        <v>206</v>
      </c>
      <c r="K62" s="147" t="s">
        <v>162</v>
      </c>
      <c r="L62" s="147"/>
      <c r="N62" s="147"/>
      <c r="P62" s="128" t="s">
        <v>584</v>
      </c>
      <c r="Q62" s="127" t="s">
        <v>184</v>
      </c>
      <c r="R62" s="127" t="s">
        <v>582</v>
      </c>
      <c r="S62" s="127" t="s">
        <v>192</v>
      </c>
      <c r="T62" s="127" t="s">
        <v>196</v>
      </c>
      <c r="U62" s="127" t="s">
        <v>200</v>
      </c>
      <c r="V62" s="127" t="s">
        <v>583</v>
      </c>
      <c r="W62" s="127" t="s">
        <v>206</v>
      </c>
      <c r="X62" s="127"/>
      <c r="Y62" s="148" t="s">
        <v>162</v>
      </c>
      <c r="AA62" s="128" t="s">
        <v>585</v>
      </c>
      <c r="AB62" s="127" t="s">
        <v>184</v>
      </c>
      <c r="AC62" s="127" t="s">
        <v>582</v>
      </c>
      <c r="AD62" s="127" t="s">
        <v>192</v>
      </c>
      <c r="AE62" s="127" t="s">
        <v>196</v>
      </c>
      <c r="AF62" s="127" t="s">
        <v>200</v>
      </c>
      <c r="AG62" s="127" t="s">
        <v>583</v>
      </c>
      <c r="AH62" s="127" t="s">
        <v>206</v>
      </c>
      <c r="AI62" s="148" t="s">
        <v>162</v>
      </c>
    </row>
    <row r="63" spans="2:35" ht="15" customHeight="1" x14ac:dyDescent="0.3">
      <c r="B63" s="176"/>
      <c r="C63" s="29" t="s">
        <v>111</v>
      </c>
      <c r="D63" s="125">
        <f>'Monday Est.'!I26</f>
        <v>169.95704000000001</v>
      </c>
      <c r="E63" s="125">
        <f>'Tuesday Est.'!I26</f>
        <v>204.72098</v>
      </c>
      <c r="F63" s="125">
        <f>'Wednesday Est.'!I26</f>
        <v>193.13300000000001</v>
      </c>
      <c r="G63" s="125">
        <f>'Thursday Est.'!I26</f>
        <v>193.13300000000001</v>
      </c>
      <c r="H63" s="125">
        <f>'Friday Est'!I26</f>
        <v>150.64374000000001</v>
      </c>
      <c r="I63" s="125">
        <f>'Saturday Est.'!I26</f>
        <v>131.33044000000001</v>
      </c>
      <c r="J63" s="125">
        <f>'Sunday Est.'!I26</f>
        <v>112.01714</v>
      </c>
      <c r="K63" s="125">
        <f t="shared" ref="K63:K67" si="71">SUM(D63:J63)</f>
        <v>1154.93534</v>
      </c>
      <c r="L63" s="125"/>
      <c r="N63" s="125"/>
      <c r="P63" s="29" t="s">
        <v>111</v>
      </c>
      <c r="Q63" s="145">
        <f>'Monday Est.'!R23</f>
        <v>63.908625285714272</v>
      </c>
      <c r="R63" s="145">
        <f>'Tuesday Est.'!R23</f>
        <v>57.181401571428559</v>
      </c>
      <c r="S63" s="145">
        <f>'Wednesday Est.'!R23</f>
        <v>57.181401571428559</v>
      </c>
      <c r="T63" s="145">
        <f>'Thursday Est.'!S23</f>
        <v>47.090565999999995</v>
      </c>
      <c r="U63" s="145">
        <f>'Friday Est'!R23</f>
        <v>47.090565999999995</v>
      </c>
      <c r="V63" s="145">
        <f>'Saturday Est.'!R23</f>
        <v>47.090565999999995</v>
      </c>
      <c r="W63" s="145">
        <f>'Sunday Est.'!R23</f>
        <v>43.726954142857139</v>
      </c>
      <c r="X63" s="145"/>
      <c r="Y63" s="145">
        <f t="shared" ref="Y63:Y67" si="72">SUM(Q63:W63)</f>
        <v>363.27008057142848</v>
      </c>
      <c r="AA63" s="142" t="s">
        <v>111</v>
      </c>
      <c r="AB63" s="125">
        <f>'Monday Est.'!AA21</f>
        <v>26.066066000000003</v>
      </c>
      <c r="AC63" s="125">
        <f>'Tuesday Est.'!AA21</f>
        <v>26.066066000000003</v>
      </c>
      <c r="AD63" s="125">
        <f>'Wednesday Est.'!AA21</f>
        <v>22.055902000000003</v>
      </c>
      <c r="AE63" s="125">
        <f>'Thursday Est.'!AB21</f>
        <v>22.055902000000003</v>
      </c>
      <c r="AF63" s="125">
        <f>'Friday Est'!AA21</f>
        <v>16.040656000000002</v>
      </c>
      <c r="AG63" s="125">
        <f>'Saturday Est.'!AA21</f>
        <v>24.060984000000001</v>
      </c>
      <c r="AH63" s="125">
        <f>'Sunday Est.'!AA21</f>
        <v>16.040656000000002</v>
      </c>
      <c r="AI63" s="145">
        <f t="shared" ref="AI63:AI67" si="73">SUM(AB63:AH63)</f>
        <v>152.38623200000004</v>
      </c>
    </row>
    <row r="64" spans="2:35" ht="15" customHeight="1" x14ac:dyDescent="0.3">
      <c r="B64" s="176"/>
      <c r="C64" s="29" t="s">
        <v>112</v>
      </c>
      <c r="D64" s="125">
        <f>'Monday Est.'!I40</f>
        <v>822.74657999999999</v>
      </c>
      <c r="E64" s="125">
        <f>'Tuesday Est.'!I41</f>
        <v>807.29593999999997</v>
      </c>
      <c r="F64" s="125">
        <f>'Wednesday Est.'!I41</f>
        <v>815.02125999999998</v>
      </c>
      <c r="G64" s="125">
        <f>'Thursday Est.'!I41</f>
        <v>815.02125999999998</v>
      </c>
      <c r="H64" s="125">
        <f>'Friday Est'!I41</f>
        <v>610.30028000000004</v>
      </c>
      <c r="I64" s="125">
        <f>'Saturday Est.'!I42</f>
        <v>366.95269999999999</v>
      </c>
      <c r="J64" s="125">
        <f>'Sunday Est.'!I41</f>
        <v>189.27034</v>
      </c>
      <c r="K64" s="125">
        <f t="shared" si="71"/>
        <v>4426.6083600000002</v>
      </c>
      <c r="L64" s="125"/>
      <c r="N64" s="125"/>
      <c r="P64" s="29" t="s">
        <v>112</v>
      </c>
      <c r="Q64" s="145">
        <f>'Monday Est.'!R37</f>
        <v>262.3617248571428</v>
      </c>
      <c r="R64" s="145">
        <f>'Tuesday Est.'!R38</f>
        <v>255.63450114285709</v>
      </c>
      <c r="S64" s="145">
        <f>'Wednesday Est.'!R38</f>
        <v>258.99811299999993</v>
      </c>
      <c r="T64" s="145">
        <f>'Thursday Est.'!S38</f>
        <v>248.90727742857138</v>
      </c>
      <c r="U64" s="145">
        <f>'Friday Est'!R38</f>
        <v>248.90727742857138</v>
      </c>
      <c r="V64" s="145">
        <f>'Saturday Est.'!R39</f>
        <v>164.81698099999997</v>
      </c>
      <c r="W64" s="145">
        <f>'Sunday Est.'!R38</f>
        <v>141.27169799999999</v>
      </c>
      <c r="X64" s="145"/>
      <c r="Y64" s="145">
        <f t="shared" si="72"/>
        <v>1580.8975728571427</v>
      </c>
      <c r="AA64" s="142" t="s">
        <v>112</v>
      </c>
      <c r="AB64" s="125">
        <f>'Monday Est.'!AA35</f>
        <v>130.33033</v>
      </c>
      <c r="AC64" s="121">
        <f>'Tuesday Est.'!AA36</f>
        <v>126.32016600000001</v>
      </c>
      <c r="AD64" s="125">
        <f>'Wednesday Est.'!AA36</f>
        <v>128.32524800000002</v>
      </c>
      <c r="AE64" s="125">
        <f>'Thursday Est.'!AB36</f>
        <v>122.31000200000001</v>
      </c>
      <c r="AF64" s="125">
        <f>'Friday Est'!AA36</f>
        <v>108.27442800000001</v>
      </c>
      <c r="AG64" s="125">
        <f>'Saturday Est.'!AA37</f>
        <v>82.208362000000008</v>
      </c>
      <c r="AH64" s="125">
        <f>'Sunday Est.'!AA36</f>
        <v>64.162624000000008</v>
      </c>
      <c r="AI64" s="145">
        <f t="shared" si="73"/>
        <v>761.93116000000009</v>
      </c>
    </row>
    <row r="65" spans="2:35" ht="15" customHeight="1" x14ac:dyDescent="0.3">
      <c r="B65" s="176"/>
      <c r="C65" s="29" t="s">
        <v>113</v>
      </c>
      <c r="D65" s="125">
        <f>'Monday Est.'!I54</f>
        <v>178.444849084</v>
      </c>
      <c r="E65" s="125">
        <f>'Tuesday Est.'!I56</f>
        <v>1498.71208</v>
      </c>
      <c r="F65" s="125">
        <f>'Wednesday Est.'!I56</f>
        <v>1328.75504</v>
      </c>
      <c r="G65" s="125">
        <f>'Thursday Est.'!I56</f>
        <v>1328.75504</v>
      </c>
      <c r="H65" s="125">
        <f>'Friday Est'!I56</f>
        <v>981.11563999999998</v>
      </c>
      <c r="I65" s="125">
        <f>'Saturday Est.'!I58</f>
        <v>834.33456000000001</v>
      </c>
      <c r="J65" s="125">
        <f>'Sunday Est.'!I56</f>
        <v>193.13300000000001</v>
      </c>
      <c r="K65" s="125">
        <f t="shared" si="71"/>
        <v>6343.2502090839998</v>
      </c>
      <c r="L65" s="125"/>
      <c r="N65" s="125"/>
      <c r="P65" s="29" t="s">
        <v>113</v>
      </c>
      <c r="Q65" s="145">
        <f>'Monday Est.'!R51</f>
        <v>306.08867899999996</v>
      </c>
      <c r="R65" s="145">
        <f>'Tuesday Est.'!R53</f>
        <v>289.27061971428566</v>
      </c>
      <c r="S65" s="145">
        <f>'Wednesday Est.'!R53</f>
        <v>292.63423157142853</v>
      </c>
      <c r="T65" s="145">
        <f>'Thursday Est.'!S53</f>
        <v>292.63423157142853</v>
      </c>
      <c r="U65" s="145">
        <f>'Friday Est'!R53</f>
        <v>285.90700785714279</v>
      </c>
      <c r="V65" s="145">
        <f>'Saturday Est.'!R55</f>
        <v>205.18032328571425</v>
      </c>
      <c r="W65" s="145">
        <f>'Sunday Est.'!R53</f>
        <v>174.90781657142855</v>
      </c>
      <c r="X65" s="145"/>
      <c r="Y65" s="145">
        <f t="shared" si="72"/>
        <v>1846.6229095714282</v>
      </c>
      <c r="AA65" s="142" t="s">
        <v>113</v>
      </c>
      <c r="AB65" s="125">
        <f>'Monday Est.'!AA49</f>
        <v>122.31000200000001</v>
      </c>
      <c r="AC65" s="121">
        <f>'Tuesday Est.'!AA51</f>
        <v>120.30492000000001</v>
      </c>
      <c r="AD65" s="125">
        <f>'Wednesday Est.'!AA51</f>
        <v>112.284592</v>
      </c>
      <c r="AE65" s="125">
        <f>'Thursday Est.'!AB51</f>
        <v>104.26426400000001</v>
      </c>
      <c r="AF65" s="125">
        <f>'Friday Est'!AA51</f>
        <v>96.243936000000005</v>
      </c>
      <c r="AG65" s="125">
        <f>'Saturday Est.'!AA53</f>
        <v>78.198198000000005</v>
      </c>
      <c r="AH65" s="125">
        <f>'Sunday Est.'!AA51</f>
        <v>62.157542000000007</v>
      </c>
      <c r="AI65" s="145">
        <f t="shared" si="73"/>
        <v>695.76345400000014</v>
      </c>
    </row>
    <row r="66" spans="2:35" ht="15" customHeight="1" x14ac:dyDescent="0.3">
      <c r="B66" s="176"/>
      <c r="C66" s="29" t="s">
        <v>114</v>
      </c>
      <c r="D66" s="125">
        <f>'Monday Est.'!I69</f>
        <v>826.60924</v>
      </c>
      <c r="E66" s="125">
        <f>'Tuesday Est.'!I71</f>
        <v>818.88391999999999</v>
      </c>
      <c r="F66" s="125">
        <f>'Wednesday Est.'!I71</f>
        <v>745.49338</v>
      </c>
      <c r="G66" s="125">
        <f>'Thursday Est.'!I71</f>
        <v>745.49338</v>
      </c>
      <c r="H66" s="125">
        <f>'Friday Est'!I71</f>
        <v>575.53634</v>
      </c>
      <c r="I66" s="125">
        <f>'Saturday Est.'!I74</f>
        <v>224.03428</v>
      </c>
      <c r="J66" s="125">
        <f>'Sunday Est.'!I71</f>
        <v>169.95704000000001</v>
      </c>
      <c r="K66" s="125">
        <f t="shared" si="71"/>
        <v>4106.0075799999995</v>
      </c>
      <c r="L66" s="125"/>
      <c r="N66" s="125"/>
      <c r="P66" s="29" t="s">
        <v>114</v>
      </c>
      <c r="Q66" s="145">
        <f>'Monday Est.'!R66</f>
        <v>295.9978434285714</v>
      </c>
      <c r="R66" s="145">
        <f>'Tuesday Est.'!R68</f>
        <v>285.90700785714279</v>
      </c>
      <c r="S66" s="145">
        <f>'Wednesday Est.'!R68</f>
        <v>282.54339599999997</v>
      </c>
      <c r="T66" s="145">
        <f>'Thursday Est.'!S68</f>
        <v>282.54339599999997</v>
      </c>
      <c r="U66" s="145">
        <f>'Friday Est'!R68</f>
        <v>279.1797841428571</v>
      </c>
      <c r="V66" s="145">
        <f>'Saturday Est.'!R71</f>
        <v>137.90808614285712</v>
      </c>
      <c r="W66" s="145">
        <f>'Sunday Est.'!R68</f>
        <v>121.09002685714283</v>
      </c>
      <c r="X66" s="145"/>
      <c r="Y66" s="145">
        <f t="shared" si="72"/>
        <v>1685.1695404285715</v>
      </c>
      <c r="AA66" s="142" t="s">
        <v>114</v>
      </c>
      <c r="AB66" s="125">
        <f>'Monday Est.'!AA64</f>
        <v>78.198198000000005</v>
      </c>
      <c r="AC66" s="121">
        <f>'Tuesday Est.'!AA66</f>
        <v>78.198198000000005</v>
      </c>
      <c r="AD66" s="125">
        <f>'Wednesday Est.'!AA66</f>
        <v>66.16770600000001</v>
      </c>
      <c r="AE66" s="125">
        <f>'Thursday Est.'!AB66</f>
        <v>66.16770600000001</v>
      </c>
      <c r="AF66" s="125">
        <f>'Friday Est'!AA66</f>
        <v>60.152460000000005</v>
      </c>
      <c r="AG66" s="125">
        <f>'Saturday Est.'!AA69</f>
        <v>58.147378000000003</v>
      </c>
      <c r="AH66" s="125">
        <f>'Sunday Est.'!AA66</f>
        <v>50.127050000000004</v>
      </c>
      <c r="AI66" s="145">
        <f t="shared" si="73"/>
        <v>457.15869600000002</v>
      </c>
    </row>
    <row r="67" spans="2:35" ht="15" customHeight="1" x14ac:dyDescent="0.3">
      <c r="B67" s="176"/>
      <c r="C67" s="29" t="s">
        <v>115</v>
      </c>
      <c r="D67" s="125">
        <f>'Monday Est.'!I83</f>
        <v>733.90539999999999</v>
      </c>
      <c r="E67" s="125">
        <f>'Tuesday Est.'!I86</f>
        <v>714.59209999999996</v>
      </c>
      <c r="F67" s="125">
        <f>'Wednesday Est.'!I86</f>
        <v>691.41614000000004</v>
      </c>
      <c r="G67" s="125">
        <f>'Thursday Est.'!I86</f>
        <v>691.41614000000004</v>
      </c>
      <c r="H67" s="125">
        <f>'Friday Est'!I86</f>
        <v>459.65654000000001</v>
      </c>
      <c r="I67" s="125">
        <f>'Saturday Est.'!I90</f>
        <v>112.01714</v>
      </c>
      <c r="J67" s="125">
        <f>'Sunday Est.'!I86</f>
        <v>96.566500000000005</v>
      </c>
      <c r="K67" s="125">
        <f t="shared" si="71"/>
        <v>3499.5699599999998</v>
      </c>
      <c r="L67" s="125"/>
      <c r="N67" s="125"/>
      <c r="P67" s="29" t="s">
        <v>115</v>
      </c>
      <c r="Q67" s="145">
        <f>'Monday Est.'!R80</f>
        <v>114.36280314285712</v>
      </c>
      <c r="R67" s="145">
        <f>'Tuesday Est.'!R83</f>
        <v>114.36280314285712</v>
      </c>
      <c r="S67" s="145">
        <f>'Wednesday Est.'!R83</f>
        <v>104.27196757142856</v>
      </c>
      <c r="T67" s="145">
        <f>'Thursday Est.'!S83</f>
        <v>97.544743857142848</v>
      </c>
      <c r="U67" s="145">
        <f>'Friday Est'!R83</f>
        <v>84.090296428571421</v>
      </c>
      <c r="V67" s="145">
        <f>'Saturday Est.'!R87</f>
        <v>70.635848999999993</v>
      </c>
      <c r="W67" s="145">
        <f>'Sunday Est.'!R83</f>
        <v>60.545013428571416</v>
      </c>
      <c r="X67" s="145"/>
      <c r="Y67" s="145">
        <f t="shared" si="72"/>
        <v>645.81347657142851</v>
      </c>
      <c r="AA67" s="142" t="s">
        <v>115</v>
      </c>
      <c r="AB67" s="125">
        <f>'Monday Est.'!AA78</f>
        <v>62.157542000000007</v>
      </c>
      <c r="AC67" s="121">
        <f>'Tuesday Est.'!AA81</f>
        <v>64.162624000000008</v>
      </c>
      <c r="AD67" s="125">
        <f>'Wednesday Est.'!AA81</f>
        <v>62.157542000000007</v>
      </c>
      <c r="AE67" s="125">
        <f>'Thursday Est.'!AB81</f>
        <v>58.147378000000003</v>
      </c>
      <c r="AF67" s="125">
        <f>'Friday Est'!AA81</f>
        <v>50.127050000000004</v>
      </c>
      <c r="AG67" s="125">
        <f>'Saturday Est.'!AA85</f>
        <v>42.106722000000005</v>
      </c>
      <c r="AH67" s="125">
        <f>'Sunday Est.'!AA81</f>
        <v>36.091476</v>
      </c>
      <c r="AI67" s="145">
        <f t="shared" si="73"/>
        <v>374.950334</v>
      </c>
    </row>
    <row r="68" spans="2:35" ht="15" customHeight="1" x14ac:dyDescent="0.3">
      <c r="C68" s="29"/>
      <c r="D68" s="125"/>
      <c r="E68" s="125"/>
      <c r="F68" s="125"/>
      <c r="G68" s="125"/>
      <c r="H68" s="125"/>
      <c r="I68" s="125"/>
      <c r="J68" s="125"/>
      <c r="K68" s="125"/>
      <c r="L68" s="125"/>
      <c r="N68" s="125"/>
      <c r="P68" s="29"/>
      <c r="Q68" s="145"/>
      <c r="R68" s="145"/>
      <c r="S68" s="145"/>
      <c r="T68" s="145"/>
      <c r="U68" s="145"/>
      <c r="V68" s="145"/>
      <c r="W68" s="145"/>
      <c r="X68" s="145"/>
      <c r="Y68" s="145"/>
      <c r="AA68" s="142"/>
      <c r="AB68" s="125"/>
      <c r="AC68" s="121"/>
      <c r="AD68" s="125"/>
      <c r="AE68" s="125"/>
      <c r="AF68" s="125"/>
      <c r="AG68" s="125"/>
      <c r="AH68" s="125"/>
      <c r="AI68" s="145"/>
    </row>
    <row r="69" spans="2:35" ht="15" customHeight="1" x14ac:dyDescent="0.3">
      <c r="C69" s="133" t="s">
        <v>611</v>
      </c>
      <c r="D69" s="125"/>
      <c r="E69" s="125"/>
      <c r="F69" s="125"/>
      <c r="G69" s="125"/>
      <c r="H69" s="125"/>
      <c r="I69" s="125"/>
      <c r="J69" s="125"/>
      <c r="K69" s="125"/>
      <c r="L69" s="125"/>
      <c r="N69" s="125"/>
      <c r="P69" s="133" t="s">
        <v>611</v>
      </c>
      <c r="Q69" s="145"/>
      <c r="R69" s="145"/>
      <c r="S69" s="145"/>
      <c r="T69" s="145"/>
      <c r="U69" s="145"/>
      <c r="V69" s="145"/>
      <c r="W69" s="145"/>
      <c r="X69" s="145"/>
      <c r="Y69" s="145"/>
      <c r="AA69" s="142"/>
      <c r="AB69" s="125"/>
      <c r="AC69" s="121"/>
      <c r="AD69" s="125"/>
      <c r="AE69" s="125"/>
      <c r="AF69" s="125"/>
      <c r="AG69" s="125"/>
      <c r="AH69" s="125"/>
      <c r="AI69" s="145"/>
    </row>
    <row r="70" spans="2:35" ht="15" customHeight="1" x14ac:dyDescent="0.3">
      <c r="B70" s="204" t="s">
        <v>612</v>
      </c>
      <c r="C70" s="128" t="s">
        <v>581</v>
      </c>
      <c r="D70" s="147" t="s">
        <v>184</v>
      </c>
      <c r="E70" s="147" t="s">
        <v>582</v>
      </c>
      <c r="F70" s="147" t="s">
        <v>192</v>
      </c>
      <c r="G70" s="147" t="s">
        <v>196</v>
      </c>
      <c r="H70" s="147" t="s">
        <v>200</v>
      </c>
      <c r="I70" s="147" t="s">
        <v>583</v>
      </c>
      <c r="J70" s="147" t="s">
        <v>206</v>
      </c>
      <c r="K70" s="125"/>
      <c r="L70" s="125"/>
      <c r="N70" s="125"/>
      <c r="P70" s="128" t="s">
        <v>584</v>
      </c>
      <c r="Q70" s="151" t="s">
        <v>184</v>
      </c>
      <c r="R70" s="151" t="s">
        <v>582</v>
      </c>
      <c r="S70" s="151" t="s">
        <v>192</v>
      </c>
      <c r="T70" s="151" t="s">
        <v>196</v>
      </c>
      <c r="U70" s="151" t="s">
        <v>200</v>
      </c>
      <c r="V70" s="151" t="s">
        <v>583</v>
      </c>
      <c r="W70" s="151" t="s">
        <v>206</v>
      </c>
      <c r="X70" s="145"/>
      <c r="Y70" s="145"/>
      <c r="AA70" s="128" t="s">
        <v>613</v>
      </c>
      <c r="AB70" s="127" t="s">
        <v>184</v>
      </c>
      <c r="AC70" s="127" t="s">
        <v>582</v>
      </c>
      <c r="AD70" s="127" t="s">
        <v>192</v>
      </c>
      <c r="AE70" s="127" t="s">
        <v>196</v>
      </c>
      <c r="AF70" s="127" t="s">
        <v>200</v>
      </c>
      <c r="AG70" s="127" t="s">
        <v>583</v>
      </c>
      <c r="AH70" s="127" t="s">
        <v>206</v>
      </c>
      <c r="AI70" s="145"/>
    </row>
    <row r="71" spans="2:35" ht="15" customHeight="1" x14ac:dyDescent="0.3">
      <c r="B71" s="176"/>
      <c r="C71" s="29" t="s">
        <v>111</v>
      </c>
      <c r="D71" s="125">
        <f>D47*'Vehicle Infos'!$K$10</f>
        <v>237.86399999999995</v>
      </c>
      <c r="E71" s="125">
        <f>E47*'Vehicle Infos'!$K$10</f>
        <v>252.81000000000006</v>
      </c>
      <c r="F71" s="125">
        <f>F47*'Vehicle Infos'!$K$10</f>
        <v>190.8</v>
      </c>
      <c r="G71" s="125">
        <f>G47*'Vehicle Infos'!$K$10</f>
        <v>174.89999999999998</v>
      </c>
      <c r="H71" s="125">
        <f>H47*'Vehicle Infos'!$K$10</f>
        <v>62.009999999999991</v>
      </c>
      <c r="I71" s="125">
        <f>I47*'Vehicle Infos'!$K$10</f>
        <v>86.496000000000024</v>
      </c>
      <c r="J71" s="125">
        <f>J47*'Vehicle Infos'!$K$10</f>
        <v>0</v>
      </c>
      <c r="K71" s="125"/>
      <c r="L71" s="125"/>
      <c r="N71" s="125"/>
      <c r="P71" s="29" t="s">
        <v>111</v>
      </c>
      <c r="Q71" s="145">
        <f>Q48*'Vehicle Infos'!$K$21</f>
        <v>0</v>
      </c>
      <c r="R71" s="145">
        <f>R48*'Vehicle Infos'!$K$21</f>
        <v>0</v>
      </c>
      <c r="S71" s="145">
        <f>S48*'Vehicle Infos'!$K$21</f>
        <v>5.9269650000000178</v>
      </c>
      <c r="T71" s="145">
        <f>T48*'Vehicle Infos'!$K$21</f>
        <v>0</v>
      </c>
      <c r="U71" s="145">
        <f>U48*'Vehicle Infos'!$K$21</f>
        <v>0</v>
      </c>
      <c r="V71" s="145">
        <f>V48*'Vehicle Infos'!$K$21</f>
        <v>0</v>
      </c>
      <c r="W71" s="145">
        <f>W48*'Vehicle Infos'!$K$21</f>
        <v>0</v>
      </c>
      <c r="X71" s="145"/>
      <c r="Y71" s="145"/>
      <c r="AA71" s="29" t="s">
        <v>111</v>
      </c>
      <c r="AB71" s="125">
        <f>AB48*'Vehicle Infos'!$K$29</f>
        <v>17.160000000000004</v>
      </c>
      <c r="AC71" s="125">
        <f>AC48*'Vehicle Infos'!$K$29</f>
        <v>13.727999999999994</v>
      </c>
      <c r="AD71" s="125">
        <f>AD48*'Vehicle Infos'!$K$29</f>
        <v>11.615999999999998</v>
      </c>
      <c r="AE71" s="125">
        <f>AE48*'Vehicle Infos'!$K$29</f>
        <v>8.7120000000000068</v>
      </c>
      <c r="AF71" s="125">
        <f>AF48*'Vehicle Infos'!$K$29</f>
        <v>4.2239999999999984</v>
      </c>
      <c r="AG71" s="125">
        <f>AG48*'Vehicle Infos'!$K$29</f>
        <v>6.3359999999999976</v>
      </c>
      <c r="AH71" s="125">
        <f>AH48*'Vehicle Infos'!$K$29</f>
        <v>0</v>
      </c>
      <c r="AI71" s="145"/>
    </row>
    <row r="72" spans="2:35" ht="15" customHeight="1" x14ac:dyDescent="0.3">
      <c r="B72" s="176"/>
      <c r="C72" s="29" t="s">
        <v>112</v>
      </c>
      <c r="D72" s="125">
        <f>D48*'Vehicle Infos'!$K$10</f>
        <v>998.64230769230755</v>
      </c>
      <c r="E72" s="125">
        <f>E48*'Vehicle Infos'!$K$10</f>
        <v>894.68076923076933</v>
      </c>
      <c r="F72" s="125">
        <f>F48*'Vehicle Infos'!$K$10</f>
        <v>903.2423076923078</v>
      </c>
      <c r="G72" s="125">
        <f>G48*'Vehicle Infos'!$K$10</f>
        <v>688.18461538461565</v>
      </c>
      <c r="H72" s="125">
        <f>H48*'Vehicle Infos'!$K$10</f>
        <v>322.07692307692304</v>
      </c>
      <c r="I72" s="125">
        <f>I48*'Vehicle Infos'!$K$10</f>
        <v>58.096153846153804</v>
      </c>
      <c r="J72" s="125">
        <f>J48*'Vehicle Infos'!$K$10</f>
        <v>0</v>
      </c>
      <c r="K72" s="125"/>
      <c r="L72" s="125"/>
      <c r="N72" s="125"/>
      <c r="P72" s="29" t="s">
        <v>112</v>
      </c>
      <c r="Q72" s="145">
        <f>Q49*'Vehicle Infos'!$K$21</f>
        <v>530.28904499999987</v>
      </c>
      <c r="R72" s="145">
        <f>R49*'Vehicle Infos'!$K$21</f>
        <v>556.43741999999986</v>
      </c>
      <c r="S72" s="145">
        <f>S49*'Vehicle Infos'!$K$21</f>
        <v>268.45664999999991</v>
      </c>
      <c r="T72" s="145">
        <f>T49*'Vehicle Infos'!$K$21</f>
        <v>438.59540999999996</v>
      </c>
      <c r="U72" s="145">
        <f>U49*'Vehicle Infos'!$K$21</f>
        <v>361.19621999999987</v>
      </c>
      <c r="V72" s="145">
        <f>V49*'Vehicle Infos'!$K$21</f>
        <v>0</v>
      </c>
      <c r="W72" s="145">
        <f>W49*'Vehicle Infos'!$K$21</f>
        <v>43.929270000000031</v>
      </c>
      <c r="X72" s="145"/>
      <c r="Y72" s="145"/>
      <c r="AA72" s="29" t="s">
        <v>112</v>
      </c>
      <c r="AB72" s="125">
        <f>AB49*'Vehicle Infos'!$K$29</f>
        <v>154.44</v>
      </c>
      <c r="AC72" s="125">
        <f>AC49*'Vehicle Infos'!$K$29</f>
        <v>124.74</v>
      </c>
      <c r="AD72" s="125">
        <f>AD49*'Vehicle Infos'!$K$29</f>
        <v>126.71999999999998</v>
      </c>
      <c r="AE72" s="125">
        <f>AE49*'Vehicle Infos'!$K$29</f>
        <v>108.70200000000004</v>
      </c>
      <c r="AF72" s="125">
        <f>AF49*'Vehicle Infos'!$K$29</f>
        <v>74.844000000000023</v>
      </c>
      <c r="AG72" s="125">
        <f>AG49*'Vehicle Infos'!$K$29</f>
        <v>48.70799999999997</v>
      </c>
      <c r="AH72" s="125">
        <f>AH49*'Vehicle Infos'!$K$29</f>
        <v>0</v>
      </c>
      <c r="AI72" s="145"/>
    </row>
    <row r="73" spans="2:35" ht="15" customHeight="1" x14ac:dyDescent="0.3">
      <c r="B73" s="176"/>
      <c r="C73" s="29" t="s">
        <v>113</v>
      </c>
      <c r="D73" s="125">
        <f>D49*'Vehicle Infos'!$K$10</f>
        <v>642.3599999999999</v>
      </c>
      <c r="E73" s="125">
        <f>E49*'Vehicle Infos'!$K$10</f>
        <v>514.10000000000025</v>
      </c>
      <c r="F73" s="125">
        <f>F49*'Vehicle Infos'!$K$10</f>
        <v>364.63999999999993</v>
      </c>
      <c r="G73" s="125">
        <f>G49*'Vehicle Infos'!$K$10</f>
        <v>91.160000000000295</v>
      </c>
      <c r="H73" s="125">
        <f>H49*'Vehicle Infos'!$K$10</f>
        <v>201.93000000000018</v>
      </c>
      <c r="I73" s="125">
        <f>I49*'Vehicle Infos'!$K$10</f>
        <v>286.20000000000016</v>
      </c>
      <c r="J73" s="125">
        <f>J49*'Vehicle Infos'!$K$10</f>
        <v>0</v>
      </c>
      <c r="K73" s="125"/>
      <c r="L73" s="125"/>
      <c r="N73" s="125"/>
      <c r="P73" s="29" t="s">
        <v>113</v>
      </c>
      <c r="Q73" s="145">
        <f>Q50*'Vehicle Infos'!$K$21</f>
        <v>158.63347500000006</v>
      </c>
      <c r="R73" s="145">
        <f>R50*'Vehicle Infos'!$K$21</f>
        <v>29.983470000000089</v>
      </c>
      <c r="S73" s="145">
        <f>S50*'Vehicle Infos'!$K$21</f>
        <v>0</v>
      </c>
      <c r="T73" s="145">
        <f>T50*'Vehicle Infos'!$K$21</f>
        <v>0</v>
      </c>
      <c r="U73" s="145">
        <f>U50*'Vehicle Infos'!$K$21</f>
        <v>0</v>
      </c>
      <c r="V73" s="145">
        <f>V50*'Vehicle Infos'!$K$21</f>
        <v>0</v>
      </c>
      <c r="W73" s="145">
        <f>W50*'Vehicle Infos'!$K$21</f>
        <v>18.129540000000055</v>
      </c>
      <c r="X73" s="145"/>
      <c r="Y73" s="145"/>
      <c r="AA73" s="29" t="s">
        <v>113</v>
      </c>
      <c r="AB73" s="125">
        <f>AB50*'Vehicle Infos'!$K$29</f>
        <v>62.33806451612908</v>
      </c>
      <c r="AC73" s="125">
        <f>AC50*'Vehicle Infos'!$K$29</f>
        <v>45.987096774193503</v>
      </c>
      <c r="AD73" s="125">
        <f>AD50*'Vehicle Infos'!$K$29</f>
        <v>42.921290322580603</v>
      </c>
      <c r="AE73" s="125">
        <f>AE50*'Vehicle Infos'!$K$29</f>
        <v>26.570322580645136</v>
      </c>
      <c r="AF73" s="125">
        <f>AF50*'Vehicle Infos'!$K$29</f>
        <v>0</v>
      </c>
      <c r="AG73" s="125">
        <f>AG50*'Vehicle Infos'!$K$29</f>
        <v>9.9638709677419257</v>
      </c>
      <c r="AH73" s="125">
        <f>AH50*'Vehicle Infos'!$K$29</f>
        <v>0</v>
      </c>
      <c r="AI73" s="145"/>
    </row>
    <row r="74" spans="2:35" ht="15" customHeight="1" x14ac:dyDescent="0.3">
      <c r="B74" s="176"/>
      <c r="C74" s="29" t="s">
        <v>114</v>
      </c>
      <c r="D74" s="125">
        <f>D50*'Vehicle Infos'!$K$10</f>
        <v>1506.8657142857144</v>
      </c>
      <c r="E74" s="125">
        <f>E50*'Vehicle Infos'!$K$10</f>
        <v>1348.3200000000002</v>
      </c>
      <c r="F74" s="125">
        <f>F50*'Vehicle Infos'!$K$10</f>
        <v>1139.8028571428572</v>
      </c>
      <c r="G74" s="125">
        <f>G50*'Vehicle Infos'!$K$10</f>
        <v>482.22428571428571</v>
      </c>
      <c r="H74" s="125">
        <f>H50*'Vehicle Infos'!$K$10</f>
        <v>169.2214285714285</v>
      </c>
      <c r="I74" s="125">
        <f>I50*'Vehicle Infos'!$K$10</f>
        <v>79.045714285714311</v>
      </c>
      <c r="J74" s="125">
        <f>J50*'Vehicle Infos'!$K$10</f>
        <v>0</v>
      </c>
      <c r="K74" s="125"/>
      <c r="L74" s="125"/>
      <c r="N74" s="125"/>
      <c r="P74" s="29" t="s">
        <v>114</v>
      </c>
      <c r="Q74" s="145">
        <f>Q51*'Vehicle Infos'!$K$21</f>
        <v>552.25368000000003</v>
      </c>
      <c r="R74" s="145">
        <f>R51*'Vehicle Infos'!$K$21</f>
        <v>325.98307499999999</v>
      </c>
      <c r="S74" s="145">
        <f>S51*'Vehicle Infos'!$K$21</f>
        <v>468.57888000000008</v>
      </c>
      <c r="T74" s="145">
        <f>T51*'Vehicle Infos'!$K$21</f>
        <v>439.29269999999997</v>
      </c>
      <c r="U74" s="145">
        <f>U51*'Vehicle Infos'!$K$21</f>
        <v>260.437815</v>
      </c>
      <c r="V74" s="145">
        <f>V51*'Vehicle Infos'!$K$21</f>
        <v>85.766669999999962</v>
      </c>
      <c r="W74" s="145">
        <f>W51*'Vehicle Infos'!$K$21</f>
        <v>0</v>
      </c>
      <c r="X74" s="145"/>
      <c r="Y74" s="145"/>
      <c r="AA74" s="29" t="s">
        <v>114</v>
      </c>
      <c r="AB74" s="125">
        <f>AB51*'Vehicle Infos'!$K$29</f>
        <v>308.88</v>
      </c>
      <c r="AC74" s="125">
        <f>AC51*'Vehicle Infos'!$K$29</f>
        <v>288.28799999999995</v>
      </c>
      <c r="AD74" s="125">
        <f>AD51*'Vehicle Infos'!$K$29</f>
        <v>209.08799999999999</v>
      </c>
      <c r="AE74" s="125">
        <f>AE51*'Vehicle Infos'!$K$29</f>
        <v>209.08799999999999</v>
      </c>
      <c r="AF74" s="125">
        <f>AF51*'Vehicle Infos'!$K$29</f>
        <v>174.24</v>
      </c>
      <c r="AG74" s="125">
        <f>AG51*'Vehicle Infos'!$K$29</f>
        <v>76.559999999999974</v>
      </c>
      <c r="AH74" s="125">
        <f>AH51*'Vehicle Infos'!$K$29</f>
        <v>0</v>
      </c>
      <c r="AI74" s="145"/>
    </row>
    <row r="75" spans="2:35" ht="15" customHeight="1" x14ac:dyDescent="0.3">
      <c r="B75" s="176"/>
      <c r="C75" s="29" t="s">
        <v>115</v>
      </c>
      <c r="D75" s="125">
        <f>D51*'Vehicle Infos'!$K$10</f>
        <v>1218.1451612903227</v>
      </c>
      <c r="E75" s="125">
        <f>E51*'Vehicle Infos'!$K$10</f>
        <v>948.87096774193571</v>
      </c>
      <c r="F75" s="125">
        <f>F51*'Vehicle Infos'!$K$10</f>
        <v>596.76290322580655</v>
      </c>
      <c r="G75" s="125">
        <f>G51*'Vehicle Infos'!$K$10</f>
        <v>137.71451612903215</v>
      </c>
      <c r="H75" s="125">
        <f>H51*'Vehicle Infos'!$K$10</f>
        <v>30.517741935483848</v>
      </c>
      <c r="I75" s="125">
        <f>I51*'Vehicle Infos'!$K$10</f>
        <v>14.874193548387085</v>
      </c>
      <c r="J75" s="125">
        <f>J51*'Vehicle Infos'!$K$10</f>
        <v>0</v>
      </c>
      <c r="L75" s="125"/>
      <c r="P75" s="29" t="s">
        <v>115</v>
      </c>
      <c r="Q75" s="145">
        <f>Q52*'Vehicle Infos'!$K$21</f>
        <v>80.30081612903227</v>
      </c>
      <c r="R75" s="145">
        <f>R52*'Vehicle Infos'!$K$21</f>
        <v>34.414635483870939</v>
      </c>
      <c r="S75" s="145">
        <f>S52*'Vehicle Infos'!$K$21</f>
        <v>20.918699999999976</v>
      </c>
      <c r="T75" s="145">
        <f>T52*'Vehicle Infos'!$K$21</f>
        <v>0</v>
      </c>
      <c r="U75" s="145">
        <f>U52*'Vehicle Infos'!$K$21</f>
        <v>0</v>
      </c>
      <c r="V75" s="145">
        <f>V52*'Vehicle Infos'!$K$21</f>
        <v>7.0853661290322503</v>
      </c>
      <c r="W75" s="145">
        <f>W52*'Vehicle Infos'!$K$21</f>
        <v>0</v>
      </c>
      <c r="Y75" s="145"/>
      <c r="AA75" s="29" t="s">
        <v>115</v>
      </c>
      <c r="AB75" s="125">
        <f>AB52*'Vehicle Infos'!$K$29</f>
        <v>106.392</v>
      </c>
      <c r="AC75" s="125">
        <f>AC52*'Vehicle Infos'!$K$29</f>
        <v>101.37599999999996</v>
      </c>
      <c r="AD75" s="125">
        <f>AD52*'Vehicle Infos'!$K$29</f>
        <v>81.839999999999975</v>
      </c>
      <c r="AE75" s="125">
        <f>AE52*'Vehicle Infos'!$K$29</f>
        <v>76.559999999999974</v>
      </c>
      <c r="AF75" s="125">
        <f>AF52*'Vehicle Infos'!$K$29</f>
        <v>52.79999999999999</v>
      </c>
      <c r="AG75" s="125">
        <f>AG52*'Vehicle Infos'!$K$29</f>
        <v>27.72000000000001</v>
      </c>
      <c r="AH75" s="125">
        <f>AH52*'Vehicle Infos'!$K$29</f>
        <v>0</v>
      </c>
      <c r="AI75" s="145"/>
    </row>
    <row r="76" spans="2:35" ht="15" customHeight="1" x14ac:dyDescent="0.3">
      <c r="B76" s="129"/>
      <c r="D76" s="125"/>
      <c r="E76" s="125"/>
      <c r="F76" s="125"/>
      <c r="G76" s="125"/>
      <c r="H76" s="125"/>
      <c r="I76" s="125"/>
      <c r="J76" s="125"/>
      <c r="L76" s="125"/>
      <c r="Y76" s="145"/>
      <c r="AI76" s="145"/>
    </row>
    <row r="77" spans="2:35" ht="15" customHeight="1" x14ac:dyDescent="0.3">
      <c r="B77" s="129"/>
      <c r="D77" s="125"/>
      <c r="E77" s="125"/>
      <c r="F77" s="125"/>
      <c r="G77" s="125"/>
      <c r="H77" s="125"/>
      <c r="I77" s="125"/>
      <c r="J77" s="125"/>
      <c r="L77" s="125"/>
      <c r="Y77" s="145"/>
      <c r="AI77" s="145"/>
    </row>
    <row r="78" spans="2:35" ht="15" customHeight="1" x14ac:dyDescent="0.3">
      <c r="B78" s="129"/>
      <c r="C78" s="128" t="s">
        <v>581</v>
      </c>
      <c r="D78" s="147" t="s">
        <v>184</v>
      </c>
      <c r="E78" s="147" t="s">
        <v>582</v>
      </c>
      <c r="F78" s="147" t="s">
        <v>192</v>
      </c>
      <c r="G78" s="147" t="s">
        <v>196</v>
      </c>
      <c r="H78" s="147" t="s">
        <v>200</v>
      </c>
      <c r="I78" s="147" t="s">
        <v>583</v>
      </c>
      <c r="J78" s="147" t="s">
        <v>206</v>
      </c>
      <c r="K78" s="127" t="s">
        <v>162</v>
      </c>
      <c r="L78" s="147"/>
      <c r="N78" s="121"/>
      <c r="O78" s="121"/>
      <c r="P78" s="128" t="s">
        <v>584</v>
      </c>
      <c r="Q78" s="147" t="s">
        <v>184</v>
      </c>
      <c r="R78" s="147" t="s">
        <v>582</v>
      </c>
      <c r="S78" s="147" t="s">
        <v>192</v>
      </c>
      <c r="T78" s="147" t="s">
        <v>196</v>
      </c>
      <c r="U78" s="147" t="s">
        <v>200</v>
      </c>
      <c r="V78" s="147" t="s">
        <v>583</v>
      </c>
      <c r="W78" s="147" t="s">
        <v>206</v>
      </c>
      <c r="X78" s="147"/>
      <c r="Y78" s="148" t="s">
        <v>162</v>
      </c>
      <c r="AB78" s="147" t="s">
        <v>184</v>
      </c>
      <c r="AC78" s="147" t="s">
        <v>582</v>
      </c>
      <c r="AD78" s="147" t="s">
        <v>192</v>
      </c>
      <c r="AE78" s="147" t="s">
        <v>196</v>
      </c>
      <c r="AF78" s="147" t="s">
        <v>200</v>
      </c>
      <c r="AG78" s="147" t="s">
        <v>583</v>
      </c>
      <c r="AH78" s="147" t="s">
        <v>206</v>
      </c>
      <c r="AI78" s="148" t="s">
        <v>162</v>
      </c>
    </row>
    <row r="79" spans="2:35" ht="15" customHeight="1" x14ac:dyDescent="0.3">
      <c r="B79" s="204" t="s">
        <v>607</v>
      </c>
      <c r="C79" s="29" t="s">
        <v>111</v>
      </c>
      <c r="D79" s="145">
        <f t="shared" ref="D79:J79" si="74">D55*$C$4</f>
        <v>18239.58642</v>
      </c>
      <c r="E79" s="145">
        <f t="shared" si="74"/>
        <v>21970.410915</v>
      </c>
      <c r="F79" s="145">
        <f t="shared" si="74"/>
        <v>20726.802749999999</v>
      </c>
      <c r="G79" s="145">
        <f t="shared" si="74"/>
        <v>20726.802749999999</v>
      </c>
      <c r="H79" s="145">
        <f t="shared" si="74"/>
        <v>16166.906144999999</v>
      </c>
      <c r="I79" s="145">
        <f t="shared" si="74"/>
        <v>14094.22587</v>
      </c>
      <c r="J79" s="145">
        <f t="shared" si="74"/>
        <v>12021.545595</v>
      </c>
      <c r="K79" s="145">
        <f t="shared" ref="K79:K83" si="75">SUM(D79:J79)</f>
        <v>123946.280445</v>
      </c>
      <c r="L79" s="145"/>
      <c r="N79" s="145"/>
      <c r="O79" s="145"/>
      <c r="P79" s="29" t="s">
        <v>111</v>
      </c>
      <c r="Q79" s="145">
        <f t="shared" ref="Q79:W79" si="76">Q55*$C$4</f>
        <v>10362.235981184998</v>
      </c>
      <c r="R79" s="145">
        <f t="shared" si="76"/>
        <v>9271.4742989549977</v>
      </c>
      <c r="S79" s="145">
        <f t="shared" si="76"/>
        <v>9271.4742989549977</v>
      </c>
      <c r="T79" s="145">
        <f t="shared" si="76"/>
        <v>7635.3317756099987</v>
      </c>
      <c r="U79" s="145">
        <f t="shared" si="76"/>
        <v>7635.3317756099987</v>
      </c>
      <c r="V79" s="145">
        <f t="shared" si="76"/>
        <v>7635.3317756099987</v>
      </c>
      <c r="W79" s="145">
        <f t="shared" si="76"/>
        <v>7089.9509344949984</v>
      </c>
      <c r="X79" s="145"/>
      <c r="Y79" s="145">
        <f>SUM(Q79:W79)</f>
        <v>58901.130840419995</v>
      </c>
      <c r="AA79" s="142" t="s">
        <v>111</v>
      </c>
      <c r="AB79" s="145">
        <f t="shared" ref="AB79:AH79" si="77">AB55*$C$4</f>
        <v>5368.6329839999999</v>
      </c>
      <c r="AC79" s="145">
        <f t="shared" si="77"/>
        <v>5368.6329839999999</v>
      </c>
      <c r="AD79" s="145">
        <f t="shared" si="77"/>
        <v>4542.6894479999992</v>
      </c>
      <c r="AE79" s="145">
        <f t="shared" si="77"/>
        <v>4542.6894479999992</v>
      </c>
      <c r="AF79" s="145">
        <f t="shared" si="77"/>
        <v>3303.7741439999995</v>
      </c>
      <c r="AG79" s="145">
        <f t="shared" si="77"/>
        <v>4955.6612159999995</v>
      </c>
      <c r="AH79" s="145">
        <f t="shared" si="77"/>
        <v>3303.7741439999995</v>
      </c>
      <c r="AI79" s="145">
        <f t="shared" ref="AI79:AI83" si="78">SUM(AB79:AH79)</f>
        <v>31385.854367999997</v>
      </c>
    </row>
    <row r="80" spans="2:35" ht="15" customHeight="1" x14ac:dyDescent="0.3">
      <c r="B80" s="176"/>
      <c r="C80" s="29" t="s">
        <v>112</v>
      </c>
      <c r="D80" s="145">
        <f t="shared" ref="D80:J80" si="79">D56*$C$4</f>
        <v>88296.179715000006</v>
      </c>
      <c r="E80" s="145">
        <f t="shared" si="79"/>
        <v>86638.035495000004</v>
      </c>
      <c r="F80" s="145">
        <f t="shared" si="79"/>
        <v>87467.107604999997</v>
      </c>
      <c r="G80" s="145">
        <f t="shared" si="79"/>
        <v>87467.107604999997</v>
      </c>
      <c r="H80" s="145">
        <f t="shared" si="79"/>
        <v>65496.696690000004</v>
      </c>
      <c r="I80" s="145">
        <f t="shared" si="79"/>
        <v>39380.925224999999</v>
      </c>
      <c r="J80" s="145">
        <f t="shared" si="79"/>
        <v>20312.266694999998</v>
      </c>
      <c r="K80" s="145">
        <f t="shared" si="75"/>
        <v>475058.31903000001</v>
      </c>
      <c r="L80" s="145"/>
      <c r="N80" s="145"/>
      <c r="O80" s="145"/>
      <c r="P80" s="29" t="s">
        <v>112</v>
      </c>
      <c r="Q80" s="145">
        <f t="shared" ref="Q80:W80" si="80">Q56*$C$4</f>
        <v>42539.70560696999</v>
      </c>
      <c r="R80" s="145">
        <f t="shared" si="80"/>
        <v>41448.943924739993</v>
      </c>
      <c r="S80" s="145">
        <f t="shared" si="80"/>
        <v>41994.324765854995</v>
      </c>
      <c r="T80" s="145">
        <f t="shared" si="80"/>
        <v>40358.182242509989</v>
      </c>
      <c r="U80" s="145">
        <f t="shared" si="80"/>
        <v>40358.182242509989</v>
      </c>
      <c r="V80" s="145">
        <f t="shared" si="80"/>
        <v>26723.661214634994</v>
      </c>
      <c r="W80" s="145">
        <f t="shared" si="80"/>
        <v>22905.995326829998</v>
      </c>
      <c r="X80" s="145"/>
      <c r="Y80" s="145">
        <f t="shared" ref="Y80:Y83" si="81">SUM(Q80:W80)</f>
        <v>256328.99532404993</v>
      </c>
      <c r="AA80" s="142" t="s">
        <v>112</v>
      </c>
      <c r="AB80" s="145">
        <f t="shared" ref="AB80:AH80" si="82">AB56*$C$4</f>
        <v>26843.164919999996</v>
      </c>
      <c r="AC80" s="145">
        <f t="shared" si="82"/>
        <v>26017.221383999997</v>
      </c>
      <c r="AD80" s="145">
        <f t="shared" si="82"/>
        <v>26430.193151999996</v>
      </c>
      <c r="AE80" s="145">
        <f t="shared" si="82"/>
        <v>25191.277847999994</v>
      </c>
      <c r="AF80" s="145">
        <f t="shared" si="82"/>
        <v>22300.475471999995</v>
      </c>
      <c r="AG80" s="145">
        <f t="shared" si="82"/>
        <v>16931.842487999998</v>
      </c>
      <c r="AH80" s="145">
        <f t="shared" si="82"/>
        <v>13215.096575999998</v>
      </c>
      <c r="AI80" s="145">
        <f t="shared" si="78"/>
        <v>156929.27184</v>
      </c>
    </row>
    <row r="81" spans="2:35" ht="15" customHeight="1" x14ac:dyDescent="0.3">
      <c r="B81" s="176"/>
      <c r="C81" s="29" t="s">
        <v>113</v>
      </c>
      <c r="D81" s="145">
        <f t="shared" ref="D81:J81" si="83">D57*$C$4</f>
        <v>167472.56622000001</v>
      </c>
      <c r="E81" s="145">
        <f t="shared" si="83"/>
        <v>160839.98934</v>
      </c>
      <c r="F81" s="145">
        <f t="shared" si="83"/>
        <v>142600.40291999999</v>
      </c>
      <c r="G81" s="145">
        <f t="shared" si="83"/>
        <v>142600.40291999999</v>
      </c>
      <c r="H81" s="145">
        <f t="shared" si="83"/>
        <v>105292.15797</v>
      </c>
      <c r="I81" s="145">
        <f t="shared" si="83"/>
        <v>89539.787880000003</v>
      </c>
      <c r="J81" s="145">
        <f t="shared" si="83"/>
        <v>20726.802749999999</v>
      </c>
      <c r="K81" s="145">
        <f t="shared" si="75"/>
        <v>829072.1100000001</v>
      </c>
      <c r="L81" s="145"/>
      <c r="N81" s="145"/>
      <c r="O81" s="145"/>
      <c r="P81" s="29" t="s">
        <v>113</v>
      </c>
      <c r="Q81" s="145">
        <f t="shared" ref="Q81:W81" si="84">Q57*$C$4</f>
        <v>49629.656541464996</v>
      </c>
      <c r="R81" s="145">
        <f t="shared" si="84"/>
        <v>46902.75233589</v>
      </c>
      <c r="S81" s="145">
        <f t="shared" si="84"/>
        <v>47448.133177004987</v>
      </c>
      <c r="T81" s="145">
        <f t="shared" si="84"/>
        <v>47448.133177004987</v>
      </c>
      <c r="U81" s="145">
        <f t="shared" si="84"/>
        <v>46357.37149477499</v>
      </c>
      <c r="V81" s="145">
        <f t="shared" si="84"/>
        <v>33268.231308014991</v>
      </c>
      <c r="W81" s="145">
        <f t="shared" si="84"/>
        <v>28359.803737979993</v>
      </c>
      <c r="X81" s="145"/>
      <c r="Y81" s="145">
        <f t="shared" si="81"/>
        <v>299414.08177213499</v>
      </c>
      <c r="AA81" s="142" t="s">
        <v>113</v>
      </c>
      <c r="AB81" s="145">
        <f t="shared" ref="AB81:AH81" si="85">AB57*$C$4</f>
        <v>25191.277847999994</v>
      </c>
      <c r="AC81" s="145">
        <f t="shared" si="85"/>
        <v>24778.306079999995</v>
      </c>
      <c r="AD81" s="145">
        <f t="shared" si="85"/>
        <v>23126.419007999997</v>
      </c>
      <c r="AE81" s="145">
        <f t="shared" si="85"/>
        <v>21474.531935999999</v>
      </c>
      <c r="AF81" s="145">
        <f t="shared" si="85"/>
        <v>19822.644863999998</v>
      </c>
      <c r="AG81" s="145">
        <f t="shared" si="85"/>
        <v>16105.898952</v>
      </c>
      <c r="AH81" s="145">
        <f t="shared" si="85"/>
        <v>12802.124807999999</v>
      </c>
      <c r="AI81" s="145">
        <f t="shared" si="78"/>
        <v>143301.203496</v>
      </c>
    </row>
    <row r="82" spans="2:35" ht="15" customHeight="1" x14ac:dyDescent="0.3">
      <c r="B82" s="176"/>
      <c r="C82" s="29" t="s">
        <v>114</v>
      </c>
      <c r="D82" s="145">
        <f t="shared" ref="D82:J82" si="86">D58*$C$4</f>
        <v>88710.71577000001</v>
      </c>
      <c r="E82" s="145">
        <f t="shared" si="86"/>
        <v>87881.643660000002</v>
      </c>
      <c r="F82" s="145">
        <f t="shared" si="86"/>
        <v>80005.458614999996</v>
      </c>
      <c r="G82" s="145">
        <f t="shared" si="86"/>
        <v>80005.458614999996</v>
      </c>
      <c r="H82" s="145">
        <f t="shared" si="86"/>
        <v>61765.872194999996</v>
      </c>
      <c r="I82" s="145">
        <f t="shared" si="86"/>
        <v>24043.091189999999</v>
      </c>
      <c r="J82" s="145">
        <f t="shared" si="86"/>
        <v>18239.58642</v>
      </c>
      <c r="K82" s="145">
        <f t="shared" si="75"/>
        <v>440651.82646500005</v>
      </c>
      <c r="L82" s="145"/>
      <c r="N82" s="145"/>
      <c r="O82" s="145"/>
      <c r="P82" s="29" t="s">
        <v>114</v>
      </c>
      <c r="Q82" s="145">
        <f t="shared" ref="Q82:W82" si="87">Q58*$C$4</f>
        <v>47993.514018119989</v>
      </c>
      <c r="R82" s="145">
        <f t="shared" si="87"/>
        <v>46357.37149477499</v>
      </c>
      <c r="S82" s="145">
        <f t="shared" si="87"/>
        <v>45811.990653659996</v>
      </c>
      <c r="T82" s="145">
        <f t="shared" si="87"/>
        <v>45811.990653659996</v>
      </c>
      <c r="U82" s="145">
        <f t="shared" si="87"/>
        <v>45266.609812544993</v>
      </c>
      <c r="V82" s="145">
        <f t="shared" si="87"/>
        <v>22360.614485714996</v>
      </c>
      <c r="W82" s="145">
        <f t="shared" si="87"/>
        <v>19633.710280139996</v>
      </c>
      <c r="X82" s="145"/>
      <c r="Y82" s="145">
        <f t="shared" si="81"/>
        <v>273235.80139861495</v>
      </c>
      <c r="AA82" s="142" t="s">
        <v>114</v>
      </c>
      <c r="AB82" s="145">
        <f t="shared" ref="AB82:AH82" si="88">AB58*$C$4</f>
        <v>16105.898952</v>
      </c>
      <c r="AC82" s="145">
        <f t="shared" si="88"/>
        <v>16105.898952</v>
      </c>
      <c r="AD82" s="145">
        <f t="shared" si="88"/>
        <v>13628.068343999998</v>
      </c>
      <c r="AE82" s="145">
        <f t="shared" si="88"/>
        <v>13628.068343999998</v>
      </c>
      <c r="AF82" s="145">
        <f t="shared" si="88"/>
        <v>12389.153039999997</v>
      </c>
      <c r="AG82" s="145">
        <f t="shared" si="88"/>
        <v>11976.181271999998</v>
      </c>
      <c r="AH82" s="145">
        <f t="shared" si="88"/>
        <v>10324.294199999998</v>
      </c>
      <c r="AI82" s="145">
        <f t="shared" si="78"/>
        <v>94157.563104000001</v>
      </c>
    </row>
    <row r="83" spans="2:35" ht="15" customHeight="1" x14ac:dyDescent="0.3">
      <c r="B83" s="176"/>
      <c r="C83" s="29" t="s">
        <v>115</v>
      </c>
      <c r="D83" s="145">
        <f t="shared" ref="D83:J83" si="89">D59*$C$4</f>
        <v>78761.850449999998</v>
      </c>
      <c r="E83" s="145">
        <f t="shared" si="89"/>
        <v>76689.170174999992</v>
      </c>
      <c r="F83" s="145">
        <f t="shared" si="89"/>
        <v>74201.953845000011</v>
      </c>
      <c r="G83" s="145">
        <f t="shared" si="89"/>
        <v>74201.953845000011</v>
      </c>
      <c r="H83" s="145">
        <f t="shared" si="89"/>
        <v>49329.790545000003</v>
      </c>
      <c r="I83" s="145">
        <f t="shared" si="89"/>
        <v>12021.545595</v>
      </c>
      <c r="J83" s="145">
        <f t="shared" si="89"/>
        <v>10363.401374999999</v>
      </c>
      <c r="K83" s="145">
        <f t="shared" si="75"/>
        <v>375569.66583000001</v>
      </c>
      <c r="L83" s="145"/>
      <c r="N83" s="145"/>
      <c r="O83" s="145"/>
      <c r="P83" s="29" t="s">
        <v>115</v>
      </c>
      <c r="Q83" s="145">
        <f t="shared" ref="Q83:W83" si="90">Q59*$C$4</f>
        <v>18542.948597909995</v>
      </c>
      <c r="R83" s="145">
        <f t="shared" si="90"/>
        <v>18542.948597909995</v>
      </c>
      <c r="S83" s="145">
        <f t="shared" si="90"/>
        <v>16906.806074565</v>
      </c>
      <c r="T83" s="145">
        <f t="shared" si="90"/>
        <v>15816.044392334996</v>
      </c>
      <c r="U83" s="145">
        <f t="shared" si="90"/>
        <v>13634.521027874998</v>
      </c>
      <c r="V83" s="145">
        <f t="shared" si="90"/>
        <v>11452.997663414999</v>
      </c>
      <c r="W83" s="145">
        <f t="shared" si="90"/>
        <v>9816.855140069998</v>
      </c>
      <c r="X83" s="145"/>
      <c r="Y83" s="145">
        <f t="shared" si="81"/>
        <v>104713.12149407997</v>
      </c>
      <c r="AA83" s="142" t="s">
        <v>115</v>
      </c>
      <c r="AB83" s="145">
        <f t="shared" ref="AB83:AH83" si="91">AB59*$C$4</f>
        <v>12802.124807999999</v>
      </c>
      <c r="AC83" s="145">
        <f t="shared" si="91"/>
        <v>13215.096575999998</v>
      </c>
      <c r="AD83" s="145">
        <f t="shared" si="91"/>
        <v>12802.124807999999</v>
      </c>
      <c r="AE83" s="145">
        <f t="shared" si="91"/>
        <v>11976.181271999998</v>
      </c>
      <c r="AF83" s="145">
        <f t="shared" si="91"/>
        <v>10324.294199999998</v>
      </c>
      <c r="AG83" s="145">
        <f t="shared" si="91"/>
        <v>8672.4071279999989</v>
      </c>
      <c r="AH83" s="145">
        <f t="shared" si="91"/>
        <v>7433.4918239999979</v>
      </c>
      <c r="AI83" s="145">
        <f t="shared" si="78"/>
        <v>77225.720615999991</v>
      </c>
    </row>
    <row r="84" spans="2:35" ht="15" customHeight="1" x14ac:dyDescent="0.3">
      <c r="B84" s="129"/>
      <c r="Y84" s="145"/>
      <c r="AI84" s="145"/>
    </row>
    <row r="85" spans="2:35" ht="15" customHeight="1" x14ac:dyDescent="0.3">
      <c r="B85" s="129"/>
      <c r="C85" s="128" t="s">
        <v>581</v>
      </c>
      <c r="D85" s="147" t="s">
        <v>184</v>
      </c>
      <c r="E85" s="147" t="s">
        <v>582</v>
      </c>
      <c r="F85" s="147" t="s">
        <v>192</v>
      </c>
      <c r="G85" s="147" t="s">
        <v>196</v>
      </c>
      <c r="H85" s="147" t="s">
        <v>200</v>
      </c>
      <c r="I85" s="147" t="s">
        <v>583</v>
      </c>
      <c r="J85" s="147" t="s">
        <v>206</v>
      </c>
      <c r="L85" s="147"/>
      <c r="P85" s="128" t="s">
        <v>584</v>
      </c>
      <c r="Q85" s="147" t="s">
        <v>184</v>
      </c>
      <c r="R85" s="147" t="s">
        <v>582</v>
      </c>
      <c r="S85" s="147" t="s">
        <v>192</v>
      </c>
      <c r="T85" s="147" t="s">
        <v>196</v>
      </c>
      <c r="U85" s="147" t="s">
        <v>200</v>
      </c>
      <c r="V85" s="147" t="s">
        <v>583</v>
      </c>
      <c r="W85" s="147" t="s">
        <v>206</v>
      </c>
      <c r="X85" s="147"/>
      <c r="Y85" s="148" t="s">
        <v>162</v>
      </c>
      <c r="AA85" s="128" t="s">
        <v>585</v>
      </c>
      <c r="AB85" s="147" t="s">
        <v>184</v>
      </c>
      <c r="AC85" s="147" t="s">
        <v>582</v>
      </c>
      <c r="AD85" s="147" t="s">
        <v>192</v>
      </c>
      <c r="AE85" s="147" t="s">
        <v>196</v>
      </c>
      <c r="AF85" s="147" t="s">
        <v>200</v>
      </c>
      <c r="AG85" s="147" t="s">
        <v>583</v>
      </c>
      <c r="AH85" s="147" t="s">
        <v>206</v>
      </c>
      <c r="AI85" s="148" t="s">
        <v>162</v>
      </c>
    </row>
    <row r="86" spans="2:35" ht="15" customHeight="1" x14ac:dyDescent="0.3">
      <c r="B86" s="204" t="s">
        <v>608</v>
      </c>
      <c r="C86" s="142" t="s">
        <v>111</v>
      </c>
      <c r="D86" s="145">
        <f t="shared" ref="D86:J86" si="92">D63*$C$4</f>
        <v>8862.0529410159997</v>
      </c>
      <c r="E86" s="145">
        <f t="shared" si="92"/>
        <v>10674.745588041998</v>
      </c>
      <c r="F86" s="145">
        <f t="shared" si="92"/>
        <v>10070.514705699999</v>
      </c>
      <c r="G86" s="145">
        <f t="shared" si="92"/>
        <v>10070.514705699999</v>
      </c>
      <c r="H86" s="145">
        <f t="shared" si="92"/>
        <v>7855.001470446</v>
      </c>
      <c r="I86" s="145">
        <f t="shared" si="92"/>
        <v>6847.9499998760002</v>
      </c>
      <c r="J86" s="145">
        <f t="shared" si="92"/>
        <v>5840.8985293059995</v>
      </c>
      <c r="K86" s="145">
        <f>SUM(D86:J86)</f>
        <v>60221.677940085996</v>
      </c>
      <c r="L86" s="145"/>
      <c r="N86" s="145"/>
      <c r="P86" s="142" t="s">
        <v>111</v>
      </c>
      <c r="Q86" s="149">
        <f t="shared" ref="Q86:W86" si="93">Q63*$C$4</f>
        <v>3332.3810574104705</v>
      </c>
      <c r="R86" s="149">
        <f t="shared" si="93"/>
        <v>2981.6041039988422</v>
      </c>
      <c r="S86" s="149">
        <f t="shared" si="93"/>
        <v>2981.6041039988422</v>
      </c>
      <c r="T86" s="149">
        <f t="shared" si="93"/>
        <v>2455.4386738813996</v>
      </c>
      <c r="U86" s="149">
        <f t="shared" si="93"/>
        <v>2455.4386738813996</v>
      </c>
      <c r="V86" s="149">
        <f t="shared" si="93"/>
        <v>2455.4386738813996</v>
      </c>
      <c r="W86" s="149">
        <f t="shared" si="93"/>
        <v>2280.0501971755853</v>
      </c>
      <c r="X86" s="149"/>
      <c r="Y86" s="145">
        <f t="shared" ref="Y86:Y98" si="94">SUM(Q86:W86)</f>
        <v>18941.955484227936</v>
      </c>
      <c r="AA86" s="142" t="s">
        <v>111</v>
      </c>
      <c r="AB86" s="145">
        <f t="shared" ref="AB86:AH86" si="95">AB63*$C$4</f>
        <v>1359.1602728314001</v>
      </c>
      <c r="AC86" s="145">
        <f t="shared" si="95"/>
        <v>1359.1602728314001</v>
      </c>
      <c r="AD86" s="145">
        <f t="shared" si="95"/>
        <v>1150.0586923958001</v>
      </c>
      <c r="AE86" s="145">
        <f t="shared" si="95"/>
        <v>1150.0586923958001</v>
      </c>
      <c r="AF86" s="145">
        <f t="shared" si="95"/>
        <v>836.40632174240011</v>
      </c>
      <c r="AG86" s="145">
        <f t="shared" si="95"/>
        <v>1254.6094826136</v>
      </c>
      <c r="AH86" s="145">
        <f t="shared" si="95"/>
        <v>836.40632174240011</v>
      </c>
      <c r="AI86" s="145">
        <f>SUM(AB86:AH86)</f>
        <v>7945.8600565528004</v>
      </c>
    </row>
    <row r="87" spans="2:35" ht="15" customHeight="1" x14ac:dyDescent="0.3">
      <c r="B87" s="176"/>
      <c r="C87" s="142" t="s">
        <v>112</v>
      </c>
      <c r="D87" s="145">
        <f t="shared" ref="D87:J87" si="96">D64*$C$4</f>
        <v>42900.392646281995</v>
      </c>
      <c r="E87" s="145">
        <f t="shared" si="96"/>
        <v>42094.751469825998</v>
      </c>
      <c r="F87" s="145">
        <f t="shared" si="96"/>
        <v>42497.572058054</v>
      </c>
      <c r="G87" s="145">
        <f t="shared" si="96"/>
        <v>42497.572058054</v>
      </c>
      <c r="H87" s="145">
        <f t="shared" si="96"/>
        <v>31822.826470012002</v>
      </c>
      <c r="I87" s="145">
        <f t="shared" si="96"/>
        <v>19133.977940829998</v>
      </c>
      <c r="J87" s="145">
        <f t="shared" si="96"/>
        <v>9869.1044115860004</v>
      </c>
      <c r="K87" s="145">
        <f t="shared" ref="K87:K98" si="97">SUM(D87:J87)</f>
        <v>230816.197054644</v>
      </c>
      <c r="L87" s="145"/>
      <c r="N87" s="145"/>
      <c r="P87" s="142" t="s">
        <v>112</v>
      </c>
      <c r="Q87" s="149">
        <f t="shared" ref="Q87:W87" si="98">Q64*$C$4</f>
        <v>13680.301183053511</v>
      </c>
      <c r="R87" s="149">
        <f t="shared" si="98"/>
        <v>13329.524229641882</v>
      </c>
      <c r="S87" s="149">
        <f t="shared" si="98"/>
        <v>13504.912706347695</v>
      </c>
      <c r="T87" s="149">
        <f t="shared" si="98"/>
        <v>12978.747276230253</v>
      </c>
      <c r="U87" s="149">
        <f t="shared" si="98"/>
        <v>12978.747276230253</v>
      </c>
      <c r="V87" s="149">
        <f t="shared" si="98"/>
        <v>8594.0353585848989</v>
      </c>
      <c r="W87" s="149">
        <f t="shared" si="98"/>
        <v>7366.3160216441993</v>
      </c>
      <c r="X87" s="149"/>
      <c r="Y87" s="145">
        <f t="shared" si="94"/>
        <v>82432.584051732687</v>
      </c>
      <c r="AA87" s="142" t="s">
        <v>112</v>
      </c>
      <c r="AB87" s="145">
        <f t="shared" ref="AB87:AH87" si="99">AB64*$C$4</f>
        <v>6795.8013641569996</v>
      </c>
      <c r="AC87" s="145">
        <f t="shared" si="99"/>
        <v>6586.6997837214003</v>
      </c>
      <c r="AD87" s="145">
        <f t="shared" si="99"/>
        <v>6691.2505739392009</v>
      </c>
      <c r="AE87" s="145">
        <f t="shared" si="99"/>
        <v>6377.5982032858001</v>
      </c>
      <c r="AF87" s="145">
        <f t="shared" si="99"/>
        <v>5645.7426717612007</v>
      </c>
      <c r="AG87" s="145">
        <f t="shared" si="99"/>
        <v>4286.5823989298005</v>
      </c>
      <c r="AH87" s="145">
        <f t="shared" si="99"/>
        <v>3345.6252869696004</v>
      </c>
      <c r="AI87" s="145">
        <f t="shared" ref="AI87:AI98" si="100">SUM(AB87:AH87)</f>
        <v>39729.300282764001</v>
      </c>
    </row>
    <row r="88" spans="2:35" ht="15" customHeight="1" x14ac:dyDescent="0.3">
      <c r="B88" s="176"/>
      <c r="C88" s="142" t="s">
        <v>113</v>
      </c>
      <c r="D88" s="145">
        <f t="shared" ref="D88:J88" si="101">D65*$C$4</f>
        <v>9304.6319213021034</v>
      </c>
      <c r="E88" s="145">
        <f t="shared" si="101"/>
        <v>78147.194116232</v>
      </c>
      <c r="F88" s="145">
        <f t="shared" si="101"/>
        <v>69285.141175215991</v>
      </c>
      <c r="G88" s="145">
        <f t="shared" si="101"/>
        <v>69285.141175215991</v>
      </c>
      <c r="H88" s="145">
        <f t="shared" si="101"/>
        <v>51158.214704955994</v>
      </c>
      <c r="I88" s="145">
        <f t="shared" si="101"/>
        <v>43504.623528623997</v>
      </c>
      <c r="J88" s="145">
        <f t="shared" si="101"/>
        <v>10070.514705699999</v>
      </c>
      <c r="K88" s="145">
        <f t="shared" si="97"/>
        <v>330755.4613272461</v>
      </c>
      <c r="L88" s="145"/>
      <c r="N88" s="145"/>
      <c r="P88" s="142" t="s">
        <v>113</v>
      </c>
      <c r="Q88" s="149">
        <f t="shared" ref="Q88:W88" si="102">Q65*$C$4</f>
        <v>15960.351380229096</v>
      </c>
      <c r="R88" s="149">
        <f t="shared" si="102"/>
        <v>15083.408996700025</v>
      </c>
      <c r="S88" s="149">
        <f t="shared" si="102"/>
        <v>15258.797473405841</v>
      </c>
      <c r="T88" s="149">
        <f t="shared" si="102"/>
        <v>15258.797473405841</v>
      </c>
      <c r="U88" s="149">
        <f t="shared" si="102"/>
        <v>14908.02051999421</v>
      </c>
      <c r="V88" s="149">
        <f t="shared" si="102"/>
        <v>10698.697079054669</v>
      </c>
      <c r="W88" s="149">
        <f t="shared" si="102"/>
        <v>9120.200788702341</v>
      </c>
      <c r="X88" s="149"/>
      <c r="Y88" s="145">
        <f t="shared" si="94"/>
        <v>96288.273711492031</v>
      </c>
      <c r="AA88" s="142" t="s">
        <v>113</v>
      </c>
      <c r="AB88" s="145">
        <f t="shared" ref="AB88:AH88" si="103">AB65*$C$4</f>
        <v>6377.5982032858001</v>
      </c>
      <c r="AC88" s="145">
        <f t="shared" si="103"/>
        <v>6273.0474130680004</v>
      </c>
      <c r="AD88" s="145">
        <f t="shared" si="103"/>
        <v>5854.8442521968</v>
      </c>
      <c r="AE88" s="145">
        <f t="shared" si="103"/>
        <v>5436.6410913256004</v>
      </c>
      <c r="AF88" s="145">
        <f t="shared" si="103"/>
        <v>5018.4379304544</v>
      </c>
      <c r="AG88" s="145">
        <f t="shared" si="103"/>
        <v>4077.4808184941999</v>
      </c>
      <c r="AH88" s="145">
        <f t="shared" si="103"/>
        <v>3241.0744967518003</v>
      </c>
      <c r="AI88" s="145">
        <f t="shared" si="100"/>
        <v>36279.124205576605</v>
      </c>
    </row>
    <row r="89" spans="2:35" ht="15" customHeight="1" x14ac:dyDescent="0.3">
      <c r="B89" s="176"/>
      <c r="C89" s="142" t="s">
        <v>114</v>
      </c>
      <c r="D89" s="145">
        <f t="shared" ref="D89:J89" si="104">D66*$C$4</f>
        <v>43101.802940395995</v>
      </c>
      <c r="E89" s="145">
        <f t="shared" si="104"/>
        <v>42698.982352167994</v>
      </c>
      <c r="F89" s="145">
        <f t="shared" si="104"/>
        <v>38872.186764001999</v>
      </c>
      <c r="G89" s="145">
        <f t="shared" si="104"/>
        <v>38872.186764001999</v>
      </c>
      <c r="H89" s="145">
        <f t="shared" si="104"/>
        <v>30010.133822985998</v>
      </c>
      <c r="I89" s="145">
        <f t="shared" si="104"/>
        <v>11681.797058611999</v>
      </c>
      <c r="J89" s="145">
        <f t="shared" si="104"/>
        <v>8862.0529410159997</v>
      </c>
      <c r="K89" s="145">
        <f t="shared" si="97"/>
        <v>214099.14264318199</v>
      </c>
      <c r="L89" s="145"/>
      <c r="N89" s="145"/>
      <c r="P89" s="142" t="s">
        <v>114</v>
      </c>
      <c r="Q89" s="149">
        <f t="shared" ref="Q89:W89" si="105">Q66*$C$4</f>
        <v>15434.185950111654</v>
      </c>
      <c r="R89" s="149">
        <f t="shared" si="105"/>
        <v>14908.02051999421</v>
      </c>
      <c r="S89" s="149">
        <f t="shared" si="105"/>
        <v>14732.632043288399</v>
      </c>
      <c r="T89" s="149">
        <f t="shared" si="105"/>
        <v>14732.632043288399</v>
      </c>
      <c r="U89" s="149">
        <f t="shared" si="105"/>
        <v>14557.243566582583</v>
      </c>
      <c r="V89" s="149">
        <f t="shared" si="105"/>
        <v>7190.927544938384</v>
      </c>
      <c r="W89" s="149">
        <f t="shared" si="105"/>
        <v>6313.9851614093122</v>
      </c>
      <c r="X89" s="149"/>
      <c r="Y89" s="145">
        <f t="shared" si="94"/>
        <v>87869.626829612927</v>
      </c>
      <c r="AA89" s="142" t="s">
        <v>114</v>
      </c>
      <c r="AB89" s="145">
        <f t="shared" ref="AB89:AH89" si="106">AB66*$C$4</f>
        <v>4077.4808184941999</v>
      </c>
      <c r="AC89" s="145">
        <f t="shared" si="106"/>
        <v>4077.4808184941999</v>
      </c>
      <c r="AD89" s="145">
        <f t="shared" si="106"/>
        <v>3450.1760771874006</v>
      </c>
      <c r="AE89" s="145">
        <f t="shared" si="106"/>
        <v>3450.1760771874006</v>
      </c>
      <c r="AF89" s="145">
        <f t="shared" si="106"/>
        <v>3136.5237065340002</v>
      </c>
      <c r="AG89" s="145">
        <f t="shared" si="106"/>
        <v>3031.9729163162001</v>
      </c>
      <c r="AH89" s="145">
        <f t="shared" si="106"/>
        <v>2613.7697554450001</v>
      </c>
      <c r="AI89" s="145">
        <f t="shared" si="100"/>
        <v>23837.580169658402</v>
      </c>
    </row>
    <row r="90" spans="2:35" ht="15" customHeight="1" x14ac:dyDescent="0.3">
      <c r="B90" s="176"/>
      <c r="C90" s="142" t="s">
        <v>115</v>
      </c>
      <c r="D90" s="145">
        <f t="shared" ref="D90:J90" si="107">D67*$C$4</f>
        <v>38267.955881659997</v>
      </c>
      <c r="E90" s="145">
        <f t="shared" si="107"/>
        <v>37260.904411089999</v>
      </c>
      <c r="F90" s="145">
        <f t="shared" si="107"/>
        <v>36052.442646406002</v>
      </c>
      <c r="G90" s="145">
        <f t="shared" si="107"/>
        <v>36052.442646406002</v>
      </c>
      <c r="H90" s="145">
        <f t="shared" si="107"/>
        <v>23967.824999566001</v>
      </c>
      <c r="I90" s="145">
        <f t="shared" si="107"/>
        <v>5840.8985293059995</v>
      </c>
      <c r="J90" s="145">
        <f t="shared" si="107"/>
        <v>5035.2573528499997</v>
      </c>
      <c r="K90" s="145">
        <f t="shared" si="97"/>
        <v>182477.72646728402</v>
      </c>
      <c r="L90" s="145"/>
      <c r="N90" s="145"/>
      <c r="P90" s="142" t="s">
        <v>115</v>
      </c>
      <c r="Q90" s="149">
        <f t="shared" ref="Q90:W90" si="108">Q67*$C$4</f>
        <v>5963.2082079976844</v>
      </c>
      <c r="R90" s="149">
        <f t="shared" si="108"/>
        <v>5963.2082079976844</v>
      </c>
      <c r="S90" s="149">
        <f t="shared" si="108"/>
        <v>5437.0427778802423</v>
      </c>
      <c r="T90" s="149">
        <f t="shared" si="108"/>
        <v>5086.2658244686136</v>
      </c>
      <c r="U90" s="149">
        <f t="shared" si="108"/>
        <v>4384.7119176453562</v>
      </c>
      <c r="V90" s="149">
        <f t="shared" si="108"/>
        <v>3683.1580108220996</v>
      </c>
      <c r="W90" s="149">
        <f t="shared" si="108"/>
        <v>3156.9925807046561</v>
      </c>
      <c r="X90" s="149"/>
      <c r="Y90" s="145">
        <f t="shared" si="94"/>
        <v>33674.587527516334</v>
      </c>
      <c r="AA90" s="142" t="s">
        <v>115</v>
      </c>
      <c r="AB90" s="145">
        <f t="shared" ref="AB90:AH90" si="109">AB67*$C$4</f>
        <v>3241.0744967518003</v>
      </c>
      <c r="AC90" s="145">
        <f t="shared" si="109"/>
        <v>3345.6252869696004</v>
      </c>
      <c r="AD90" s="145">
        <f t="shared" si="109"/>
        <v>3241.0744967518003</v>
      </c>
      <c r="AE90" s="145">
        <f t="shared" si="109"/>
        <v>3031.9729163162001</v>
      </c>
      <c r="AF90" s="145">
        <f t="shared" si="109"/>
        <v>2613.7697554450001</v>
      </c>
      <c r="AG90" s="145">
        <f t="shared" si="109"/>
        <v>2195.5665945738001</v>
      </c>
      <c r="AH90" s="145">
        <f t="shared" si="109"/>
        <v>1881.9142239204</v>
      </c>
      <c r="AI90" s="145">
        <f t="shared" si="100"/>
        <v>19550.997770728602</v>
      </c>
    </row>
    <row r="91" spans="2:35" ht="15" customHeight="1" x14ac:dyDescent="0.3">
      <c r="C91" s="143"/>
      <c r="K91" s="148">
        <f>SUM(K86:K90)</f>
        <v>1018370.205432442</v>
      </c>
      <c r="Y91" s="148">
        <f>SUM(Y86:Y90)</f>
        <v>319207.02760458196</v>
      </c>
      <c r="AI91" s="148">
        <f>SUM(AI86:AI90)</f>
        <v>127342.86248528041</v>
      </c>
    </row>
    <row r="92" spans="2:35" ht="15" customHeight="1" x14ac:dyDescent="0.3">
      <c r="C92" s="143"/>
      <c r="K92" s="145"/>
      <c r="Y92" s="145"/>
      <c r="AI92" s="145"/>
    </row>
    <row r="93" spans="2:35" ht="15" customHeight="1" x14ac:dyDescent="0.3">
      <c r="C93" s="128" t="s">
        <v>581</v>
      </c>
      <c r="D93" s="147" t="s">
        <v>184</v>
      </c>
      <c r="E93" s="147" t="s">
        <v>582</v>
      </c>
      <c r="F93" s="147" t="s">
        <v>192</v>
      </c>
      <c r="G93" s="147" t="s">
        <v>196</v>
      </c>
      <c r="H93" s="147" t="s">
        <v>200</v>
      </c>
      <c r="I93" s="147" t="s">
        <v>583</v>
      </c>
      <c r="J93" s="147" t="s">
        <v>206</v>
      </c>
      <c r="K93" s="145"/>
      <c r="P93" s="128" t="s">
        <v>584</v>
      </c>
      <c r="Q93" s="147" t="s">
        <v>184</v>
      </c>
      <c r="R93" s="147" t="s">
        <v>582</v>
      </c>
      <c r="S93" s="147" t="s">
        <v>192</v>
      </c>
      <c r="T93" s="147" t="s">
        <v>196</v>
      </c>
      <c r="U93" s="147" t="s">
        <v>200</v>
      </c>
      <c r="V93" s="147" t="s">
        <v>583</v>
      </c>
      <c r="W93" s="147" t="s">
        <v>206</v>
      </c>
      <c r="Y93" s="148" t="s">
        <v>162</v>
      </c>
      <c r="AA93" s="128" t="s">
        <v>613</v>
      </c>
      <c r="AB93" s="147" t="s">
        <v>184</v>
      </c>
      <c r="AC93" s="147" t="s">
        <v>582</v>
      </c>
      <c r="AD93" s="147" t="s">
        <v>192</v>
      </c>
      <c r="AE93" s="147" t="s">
        <v>196</v>
      </c>
      <c r="AF93" s="147" t="s">
        <v>200</v>
      </c>
      <c r="AG93" s="147" t="s">
        <v>583</v>
      </c>
      <c r="AH93" s="147" t="s">
        <v>206</v>
      </c>
      <c r="AI93" s="145"/>
    </row>
    <row r="94" spans="2:35" ht="15" customHeight="1" x14ac:dyDescent="0.3">
      <c r="B94" s="204" t="s">
        <v>614</v>
      </c>
      <c r="C94" s="142" t="s">
        <v>111</v>
      </c>
      <c r="D94" s="152">
        <f>D79+ (D71*$C$4)</f>
        <v>30642.505185599995</v>
      </c>
      <c r="E94" s="152">
        <f t="shared" ref="E94:J94" si="110">E79+ (E71*$C$4)</f>
        <v>35152.657464000004</v>
      </c>
      <c r="F94" s="152">
        <f t="shared" si="110"/>
        <v>30675.66807</v>
      </c>
      <c r="G94" s="152">
        <f t="shared" si="110"/>
        <v>29846.595959999999</v>
      </c>
      <c r="H94" s="152">
        <f t="shared" si="110"/>
        <v>19400.287374</v>
      </c>
      <c r="I94" s="152">
        <f t="shared" si="110"/>
        <v>18604.378148399999</v>
      </c>
      <c r="J94" s="152">
        <f t="shared" si="110"/>
        <v>12021.545595</v>
      </c>
      <c r="K94" s="145">
        <f t="shared" si="97"/>
        <v>176343.637797</v>
      </c>
      <c r="P94" s="142" t="s">
        <v>111</v>
      </c>
      <c r="Q94" s="152">
        <f>Q79+(Q71*$C$4)</f>
        <v>10362.235981184998</v>
      </c>
      <c r="R94" s="152">
        <f t="shared" ref="R94:W94" si="111">R79+(R71*$C$4)</f>
        <v>9271.4742989549977</v>
      </c>
      <c r="S94" s="152">
        <f t="shared" si="111"/>
        <v>9580.5234422534995</v>
      </c>
      <c r="T94" s="152">
        <f t="shared" si="111"/>
        <v>7635.3317756099987</v>
      </c>
      <c r="U94" s="152">
        <f t="shared" si="111"/>
        <v>7635.3317756099987</v>
      </c>
      <c r="V94" s="152">
        <f t="shared" si="111"/>
        <v>7635.3317756099987</v>
      </c>
      <c r="W94" s="152">
        <f t="shared" si="111"/>
        <v>7089.9509344949984</v>
      </c>
      <c r="Y94" s="145">
        <f t="shared" si="94"/>
        <v>59210.179983718495</v>
      </c>
      <c r="AA94" s="142" t="s">
        <v>111</v>
      </c>
      <c r="AB94" s="152">
        <f>AB79+(AB71*$C$4)</f>
        <v>6263.4051479999998</v>
      </c>
      <c r="AC94" s="152">
        <f t="shared" ref="AC94:AH94" si="112">AC79+(AC71*$C$4)</f>
        <v>6084.4507151999996</v>
      </c>
      <c r="AD94" s="152">
        <f t="shared" si="112"/>
        <v>5148.381374399999</v>
      </c>
      <c r="AE94" s="152">
        <f t="shared" si="112"/>
        <v>4996.9583927999993</v>
      </c>
      <c r="AF94" s="152">
        <f t="shared" si="112"/>
        <v>3524.0257535999995</v>
      </c>
      <c r="AG94" s="152">
        <f t="shared" si="112"/>
        <v>5286.0386303999994</v>
      </c>
      <c r="AH94" s="152">
        <f t="shared" si="112"/>
        <v>3303.7741439999995</v>
      </c>
      <c r="AI94" s="145">
        <f t="shared" si="100"/>
        <v>34607.034158399998</v>
      </c>
    </row>
    <row r="95" spans="2:35" ht="15" customHeight="1" x14ac:dyDescent="0.3">
      <c r="B95" s="176"/>
      <c r="C95" s="142" t="s">
        <v>112</v>
      </c>
      <c r="D95" s="152">
        <f t="shared" ref="D95:J98" si="113">D80+ (D72*$C$4)</f>
        <v>140368.28570076922</v>
      </c>
      <c r="E95" s="152">
        <f t="shared" si="113"/>
        <v>133289.2853769231</v>
      </c>
      <c r="F95" s="152">
        <f t="shared" si="113"/>
        <v>134564.78093076922</v>
      </c>
      <c r="G95" s="152">
        <f t="shared" si="113"/>
        <v>123351.04918653847</v>
      </c>
      <c r="H95" s="152">
        <f t="shared" si="113"/>
        <v>82290.721482307694</v>
      </c>
      <c r="I95" s="152">
        <f t="shared" si="113"/>
        <v>42410.227165384611</v>
      </c>
      <c r="J95" s="152">
        <f t="shared" si="113"/>
        <v>20312.266694999998</v>
      </c>
      <c r="K95" s="145">
        <f t="shared" si="97"/>
        <v>676586.61653769226</v>
      </c>
      <c r="P95" s="142" t="s">
        <v>112</v>
      </c>
      <c r="Q95" s="152">
        <f t="shared" ref="Q95:W98" si="114">Q80+(Q72*$C$4)</f>
        <v>70190.514251500485</v>
      </c>
      <c r="R95" s="152">
        <f t="shared" si="114"/>
        <v>70463.204672057982</v>
      </c>
      <c r="S95" s="152">
        <f t="shared" si="114"/>
        <v>55992.433021139994</v>
      </c>
      <c r="T95" s="152">
        <f t="shared" si="114"/>
        <v>63227.818846598981</v>
      </c>
      <c r="U95" s="152">
        <f t="shared" si="114"/>
        <v>59192.00062234798</v>
      </c>
      <c r="V95" s="152">
        <f t="shared" si="114"/>
        <v>26723.661214634994</v>
      </c>
      <c r="W95" s="152">
        <f t="shared" si="114"/>
        <v>25196.594859512999</v>
      </c>
      <c r="Y95" s="145">
        <f t="shared" si="94"/>
        <v>370986.22748779343</v>
      </c>
      <c r="AA95" s="142" t="s">
        <v>112</v>
      </c>
      <c r="AB95" s="152">
        <f t="shared" ref="AB95:AH98" si="115">AB80+(AB72*$C$4)</f>
        <v>34896.114395999997</v>
      </c>
      <c r="AC95" s="152">
        <f t="shared" si="115"/>
        <v>32521.526729999998</v>
      </c>
      <c r="AD95" s="152">
        <f t="shared" si="115"/>
        <v>33037.741439999998</v>
      </c>
      <c r="AE95" s="152">
        <f t="shared" si="115"/>
        <v>30859.315363799997</v>
      </c>
      <c r="AF95" s="152">
        <f t="shared" si="115"/>
        <v>26203.058679599995</v>
      </c>
      <c r="AG95" s="152">
        <f t="shared" si="115"/>
        <v>19471.618861199997</v>
      </c>
      <c r="AH95" s="152">
        <f t="shared" si="115"/>
        <v>13215.096575999998</v>
      </c>
      <c r="AI95" s="145">
        <f t="shared" si="100"/>
        <v>190204.47204659999</v>
      </c>
    </row>
    <row r="96" spans="2:35" ht="15" customHeight="1" x14ac:dyDescent="0.3">
      <c r="B96" s="176"/>
      <c r="C96" s="142" t="s">
        <v>113</v>
      </c>
      <c r="D96" s="152">
        <f t="shared" si="113"/>
        <v>200967.07946400001</v>
      </c>
      <c r="E96" s="152">
        <f t="shared" si="113"/>
        <v>187646.65423000001</v>
      </c>
      <c r="F96" s="152">
        <f t="shared" si="113"/>
        <v>161613.789976</v>
      </c>
      <c r="G96" s="152">
        <f t="shared" si="113"/>
        <v>147353.74968400001</v>
      </c>
      <c r="H96" s="152">
        <f t="shared" si="113"/>
        <v>115821.37376700001</v>
      </c>
      <c r="I96" s="152">
        <f t="shared" si="113"/>
        <v>104463.08586000001</v>
      </c>
      <c r="J96" s="152">
        <f t="shared" si="113"/>
        <v>20726.802749999999</v>
      </c>
      <c r="K96" s="145">
        <f t="shared" si="97"/>
        <v>938592.53573100013</v>
      </c>
      <c r="P96" s="142" t="s">
        <v>113</v>
      </c>
      <c r="Q96" s="152">
        <f t="shared" si="114"/>
        <v>57901.265965042498</v>
      </c>
      <c r="R96" s="152">
        <f t="shared" si="114"/>
        <v>48466.177413753001</v>
      </c>
      <c r="S96" s="152">
        <f t="shared" si="114"/>
        <v>47448.133177004987</v>
      </c>
      <c r="T96" s="152">
        <f t="shared" si="114"/>
        <v>47448.133177004987</v>
      </c>
      <c r="U96" s="152">
        <f t="shared" si="114"/>
        <v>46357.37149477499</v>
      </c>
      <c r="V96" s="152">
        <f t="shared" si="114"/>
        <v>33268.231308014991</v>
      </c>
      <c r="W96" s="152">
        <f t="shared" si="114"/>
        <v>29305.130529245995</v>
      </c>
      <c r="Y96" s="145">
        <f t="shared" si="94"/>
        <v>310194.44306484144</v>
      </c>
      <c r="AA96" s="142" t="s">
        <v>113</v>
      </c>
      <c r="AB96" s="152">
        <f t="shared" si="115"/>
        <v>28441.76531225806</v>
      </c>
      <c r="AC96" s="152">
        <f t="shared" si="115"/>
        <v>27176.206668387087</v>
      </c>
      <c r="AD96" s="152">
        <f t="shared" si="115"/>
        <v>25364.459557161284</v>
      </c>
      <c r="AE96" s="152">
        <f t="shared" si="115"/>
        <v>22859.985609290321</v>
      </c>
      <c r="AF96" s="152">
        <f t="shared" si="115"/>
        <v>19822.644863999998</v>
      </c>
      <c r="AG96" s="152">
        <f t="shared" si="115"/>
        <v>16625.44407948387</v>
      </c>
      <c r="AH96" s="152">
        <f t="shared" si="115"/>
        <v>12802.124807999999</v>
      </c>
      <c r="AI96" s="145">
        <f t="shared" si="100"/>
        <v>153092.63089858062</v>
      </c>
    </row>
    <row r="97" spans="2:35" ht="15" customHeight="1" x14ac:dyDescent="0.3">
      <c r="B97" s="176"/>
      <c r="C97" s="142" t="s">
        <v>114</v>
      </c>
      <c r="D97" s="152">
        <f t="shared" si="113"/>
        <v>167283.0640234286</v>
      </c>
      <c r="E97" s="152">
        <f t="shared" si="113"/>
        <v>158186.95858800001</v>
      </c>
      <c r="F97" s="152">
        <f t="shared" si="113"/>
        <v>139438.08501471428</v>
      </c>
      <c r="G97" s="152">
        <f t="shared" si="113"/>
        <v>105150.03132257142</v>
      </c>
      <c r="H97" s="152">
        <f t="shared" si="113"/>
        <v>70589.568222857139</v>
      </c>
      <c r="I97" s="152">
        <f t="shared" si="113"/>
        <v>28164.76396542857</v>
      </c>
      <c r="J97" s="152">
        <f t="shared" si="113"/>
        <v>18239.58642</v>
      </c>
      <c r="K97" s="145">
        <f t="shared" si="97"/>
        <v>687052.05755699996</v>
      </c>
      <c r="P97" s="142" t="s">
        <v>114</v>
      </c>
      <c r="Q97" s="152">
        <f t="shared" si="114"/>
        <v>76789.622428991992</v>
      </c>
      <c r="R97" s="152">
        <f t="shared" si="114"/>
        <v>63355.07437619249</v>
      </c>
      <c r="S97" s="152">
        <f t="shared" si="114"/>
        <v>70245.052335611996</v>
      </c>
      <c r="T97" s="152">
        <f t="shared" si="114"/>
        <v>68717.98598048999</v>
      </c>
      <c r="U97" s="152">
        <f t="shared" si="114"/>
        <v>58846.592756308492</v>
      </c>
      <c r="V97" s="152">
        <f t="shared" si="114"/>
        <v>26832.737382857995</v>
      </c>
      <c r="W97" s="152">
        <f t="shared" si="114"/>
        <v>19633.710280139996</v>
      </c>
      <c r="Y97" s="145">
        <f t="shared" si="94"/>
        <v>384420.77554059296</v>
      </c>
      <c r="AA97" s="142" t="s">
        <v>114</v>
      </c>
      <c r="AB97" s="152">
        <f t="shared" si="115"/>
        <v>32211.797903999999</v>
      </c>
      <c r="AC97" s="152">
        <f t="shared" si="115"/>
        <v>31138.071307199996</v>
      </c>
      <c r="AD97" s="152">
        <f t="shared" si="115"/>
        <v>24530.523019199994</v>
      </c>
      <c r="AE97" s="152">
        <f t="shared" si="115"/>
        <v>24530.523019199994</v>
      </c>
      <c r="AF97" s="152">
        <f t="shared" si="115"/>
        <v>21474.531935999999</v>
      </c>
      <c r="AG97" s="152">
        <f t="shared" si="115"/>
        <v>15968.241695999997</v>
      </c>
      <c r="AH97" s="152">
        <f t="shared" si="115"/>
        <v>10324.294199999998</v>
      </c>
      <c r="AI97" s="145">
        <f t="shared" si="100"/>
        <v>160177.98308159999</v>
      </c>
    </row>
    <row r="98" spans="2:35" ht="15" customHeight="1" x14ac:dyDescent="0.3">
      <c r="B98" s="176"/>
      <c r="C98" s="142" t="s">
        <v>115</v>
      </c>
      <c r="D98" s="152">
        <f t="shared" si="113"/>
        <v>142279.47178064517</v>
      </c>
      <c r="E98" s="152">
        <f t="shared" si="113"/>
        <v>126166.05415887097</v>
      </c>
      <c r="F98" s="152">
        <f t="shared" si="113"/>
        <v>105318.90223161291</v>
      </c>
      <c r="G98" s="152">
        <f t="shared" si="113"/>
        <v>81382.788088064524</v>
      </c>
      <c r="H98" s="152">
        <f t="shared" si="113"/>
        <v>50921.074110967747</v>
      </c>
      <c r="I98" s="152">
        <f t="shared" si="113"/>
        <v>12797.129181774193</v>
      </c>
      <c r="J98" s="152">
        <f t="shared" si="113"/>
        <v>10363.401374999999</v>
      </c>
      <c r="K98" s="145">
        <f t="shared" si="97"/>
        <v>529228.82092693553</v>
      </c>
      <c r="P98" s="142" t="s">
        <v>115</v>
      </c>
      <c r="Q98" s="152">
        <f t="shared" si="114"/>
        <v>22730.066023244512</v>
      </c>
      <c r="R98" s="152">
        <f t="shared" si="114"/>
        <v>20337.42749448193</v>
      </c>
      <c r="S98" s="152">
        <f t="shared" si="114"/>
        <v>17997.567756794997</v>
      </c>
      <c r="T98" s="152">
        <f t="shared" si="114"/>
        <v>15816.044392334996</v>
      </c>
      <c r="U98" s="152">
        <f t="shared" si="114"/>
        <v>13634.521027874998</v>
      </c>
      <c r="V98" s="152">
        <f t="shared" si="114"/>
        <v>11822.449200944515</v>
      </c>
      <c r="W98" s="152">
        <f t="shared" si="114"/>
        <v>9816.855140069998</v>
      </c>
      <c r="Y98" s="145">
        <f t="shared" si="94"/>
        <v>112154.93103574593</v>
      </c>
      <c r="AA98" s="142" t="s">
        <v>115</v>
      </c>
      <c r="AB98" s="152">
        <f t="shared" si="115"/>
        <v>18349.712224799998</v>
      </c>
      <c r="AC98" s="152">
        <f t="shared" si="115"/>
        <v>18501.135206399995</v>
      </c>
      <c r="AD98" s="152">
        <f t="shared" si="115"/>
        <v>17069.499743999997</v>
      </c>
      <c r="AE98" s="152">
        <f t="shared" si="115"/>
        <v>15968.241695999997</v>
      </c>
      <c r="AF98" s="152">
        <f t="shared" si="115"/>
        <v>13077.439319999998</v>
      </c>
      <c r="AG98" s="152">
        <f t="shared" si="115"/>
        <v>10117.808315999999</v>
      </c>
      <c r="AH98" s="152">
        <f t="shared" si="115"/>
        <v>7433.4918239999979</v>
      </c>
      <c r="AI98" s="145">
        <f t="shared" si="100"/>
        <v>100517.32833119998</v>
      </c>
    </row>
    <row r="103" spans="2:35" ht="15" customHeight="1" x14ac:dyDescent="0.3">
      <c r="C103" s="150" t="s">
        <v>625</v>
      </c>
    </row>
    <row r="104" spans="2:35" ht="15" customHeight="1" x14ac:dyDescent="0.3">
      <c r="C104" s="156" t="s">
        <v>616</v>
      </c>
      <c r="D104" s="156" t="s">
        <v>620</v>
      </c>
      <c r="E104" s="156" t="s">
        <v>621</v>
      </c>
      <c r="F104" s="156" t="s">
        <v>622</v>
      </c>
      <c r="G104" s="156" t="s">
        <v>623</v>
      </c>
      <c r="H104" s="156" t="s">
        <v>624</v>
      </c>
    </row>
    <row r="105" spans="2:35" ht="15" customHeight="1" x14ac:dyDescent="0.3">
      <c r="C105" s="131" t="s">
        <v>617</v>
      </c>
    </row>
    <row r="106" spans="2:35" ht="15" customHeight="1" x14ac:dyDescent="0.3">
      <c r="C106" s="131" t="s">
        <v>618</v>
      </c>
    </row>
    <row r="107" spans="2:35" ht="15" customHeight="1" x14ac:dyDescent="0.3">
      <c r="C107" s="131" t="s">
        <v>619</v>
      </c>
      <c r="D107">
        <v>18</v>
      </c>
      <c r="E107" s="158">
        <v>7980</v>
      </c>
      <c r="F107" s="157">
        <f>N27/60</f>
        <v>1.1099999999999999</v>
      </c>
      <c r="G107" s="158">
        <f>D107*E107*F107</f>
        <v>159440.4</v>
      </c>
      <c r="H107" s="158">
        <f>G107*C4</f>
        <v>8313684.833159999</v>
      </c>
    </row>
    <row r="110" spans="2:35" ht="15" customHeight="1" x14ac:dyDescent="0.3">
      <c r="C110" s="150" t="s">
        <v>633</v>
      </c>
      <c r="P110" s="131"/>
      <c r="Q110" s="161"/>
    </row>
    <row r="111" spans="2:35" ht="15" customHeight="1" x14ac:dyDescent="0.3">
      <c r="B111" s="150" t="s">
        <v>609</v>
      </c>
      <c r="C111" s="150" t="s">
        <v>626</v>
      </c>
      <c r="D111" s="156" t="s">
        <v>627</v>
      </c>
      <c r="E111" s="156" t="s">
        <v>628</v>
      </c>
      <c r="F111" s="156" t="s">
        <v>629</v>
      </c>
      <c r="G111" s="156" t="s">
        <v>635</v>
      </c>
      <c r="H111" s="156" t="s">
        <v>630</v>
      </c>
      <c r="I111" s="156" t="s">
        <v>632</v>
      </c>
    </row>
    <row r="112" spans="2:35" ht="15" customHeight="1" x14ac:dyDescent="0.3">
      <c r="B112" s="131" t="s">
        <v>102</v>
      </c>
      <c r="C112" s="131" t="s">
        <v>619</v>
      </c>
      <c r="D112">
        <v>350</v>
      </c>
      <c r="E112">
        <v>18</v>
      </c>
      <c r="F112" s="158">
        <f>D112*(E112)</f>
        <v>6300</v>
      </c>
      <c r="G112" s="157">
        <f>I43</f>
        <v>7.5394731472409751</v>
      </c>
      <c r="H112" s="158">
        <f>F112*G112</f>
        <v>47498.68082761814</v>
      </c>
      <c r="I112" s="160">
        <f>H112*365</f>
        <v>17337018.502080619</v>
      </c>
    </row>
    <row r="113" spans="2:13" ht="15" customHeight="1" x14ac:dyDescent="0.3">
      <c r="B113" s="131" t="s">
        <v>103</v>
      </c>
      <c r="C113" s="131" t="s">
        <v>634</v>
      </c>
      <c r="D113">
        <v>500</v>
      </c>
      <c r="E113">
        <v>6</v>
      </c>
      <c r="F113" s="158">
        <f t="shared" ref="F113:F114" si="116">D113*(E113)</f>
        <v>3000</v>
      </c>
      <c r="G113" s="157">
        <f>V43</f>
        <v>5.4479494340692352</v>
      </c>
      <c r="H113" s="158">
        <f t="shared" ref="H113:H114" si="117">F113*G113</f>
        <v>16343.848302207705</v>
      </c>
      <c r="I113" s="160">
        <f t="shared" ref="I113:I114" si="118">H113*365</f>
        <v>5965504.6303058127</v>
      </c>
    </row>
    <row r="114" spans="2:13" ht="15" customHeight="1" x14ac:dyDescent="0.3">
      <c r="B114" s="131" t="s">
        <v>104</v>
      </c>
      <c r="C114" s="131" t="s">
        <v>634</v>
      </c>
      <c r="D114">
        <v>400</v>
      </c>
      <c r="E114">
        <v>6</v>
      </c>
      <c r="F114" s="158">
        <f t="shared" si="116"/>
        <v>2400</v>
      </c>
      <c r="G114" s="157">
        <f>AG43</f>
        <v>7.0305925833804555</v>
      </c>
      <c r="H114" s="158">
        <f t="shared" si="117"/>
        <v>16873.422200113095</v>
      </c>
      <c r="I114" s="160">
        <f t="shared" si="118"/>
        <v>6158799.1030412791</v>
      </c>
    </row>
    <row r="116" spans="2:13" ht="15" customHeight="1" x14ac:dyDescent="0.3">
      <c r="G116" s="152"/>
    </row>
    <row r="127" spans="2:13" ht="75.900000000000006" customHeight="1" x14ac:dyDescent="0.3">
      <c r="E127" s="204" t="s">
        <v>640</v>
      </c>
      <c r="F127" s="204"/>
      <c r="G127" s="204"/>
      <c r="H127" s="204" t="s">
        <v>641</v>
      </c>
      <c r="I127" s="204"/>
      <c r="J127" s="204"/>
      <c r="K127" s="210" t="s">
        <v>639</v>
      </c>
      <c r="L127" s="210"/>
      <c r="M127" s="210"/>
    </row>
    <row r="128" spans="2:13" ht="15" customHeight="1" x14ac:dyDescent="0.3">
      <c r="C128" s="131"/>
      <c r="D128" s="131" t="s">
        <v>638</v>
      </c>
      <c r="E128" s="156" t="s">
        <v>644</v>
      </c>
      <c r="F128" s="156" t="s">
        <v>642</v>
      </c>
      <c r="G128" s="156" t="s">
        <v>643</v>
      </c>
      <c r="H128" s="156" t="s">
        <v>645</v>
      </c>
      <c r="I128" s="156" t="s">
        <v>642</v>
      </c>
      <c r="J128" s="156" t="s">
        <v>643</v>
      </c>
      <c r="K128" s="156" t="s">
        <v>637</v>
      </c>
      <c r="L128" s="156" t="s">
        <v>642</v>
      </c>
      <c r="M128" s="156" t="s">
        <v>643</v>
      </c>
    </row>
    <row r="129" spans="4:13" ht="15" customHeight="1" x14ac:dyDescent="0.3">
      <c r="D129" s="142" t="s">
        <v>111</v>
      </c>
      <c r="E129" s="163">
        <f>K79</f>
        <v>123946.280445</v>
      </c>
      <c r="F129" s="163">
        <f>Y79</f>
        <v>58901.130840419995</v>
      </c>
      <c r="G129" s="163">
        <f>AI79</f>
        <v>31385.854367999997</v>
      </c>
      <c r="H129" s="163">
        <f>K86</f>
        <v>60221.677940085996</v>
      </c>
      <c r="I129" s="163">
        <f>Y86</f>
        <v>18941.955484227936</v>
      </c>
      <c r="J129" s="163">
        <f>AI86</f>
        <v>7945.8600565528004</v>
      </c>
      <c r="K129" s="163">
        <f>K94</f>
        <v>176343.637797</v>
      </c>
      <c r="L129" s="163">
        <f>Y94</f>
        <v>59210.179983718495</v>
      </c>
      <c r="M129" s="163">
        <f>AI94</f>
        <v>34607.034158399998</v>
      </c>
    </row>
    <row r="130" spans="4:13" ht="15" customHeight="1" x14ac:dyDescent="0.3">
      <c r="D130" s="142" t="s">
        <v>112</v>
      </c>
      <c r="E130" s="163">
        <f t="shared" ref="E130:E133" si="119">K80</f>
        <v>475058.31903000001</v>
      </c>
      <c r="F130" s="163">
        <f t="shared" ref="F130:F133" si="120">Y80</f>
        <v>256328.99532404993</v>
      </c>
      <c r="G130" s="163">
        <f t="shared" ref="G130:G133" si="121">AI80</f>
        <v>156929.27184</v>
      </c>
      <c r="H130" s="163">
        <f t="shared" ref="H130:H133" si="122">K87</f>
        <v>230816.197054644</v>
      </c>
      <c r="I130" s="163">
        <f t="shared" ref="I130:I133" si="123">Y87</f>
        <v>82432.584051732687</v>
      </c>
      <c r="J130" s="163">
        <f t="shared" ref="J130:J133" si="124">AI87</f>
        <v>39729.300282764001</v>
      </c>
      <c r="K130" s="163">
        <f t="shared" ref="K130:K133" si="125">K95</f>
        <v>676586.61653769226</v>
      </c>
      <c r="L130" s="163">
        <f t="shared" ref="L130:L133" si="126">Y95</f>
        <v>370986.22748779343</v>
      </c>
      <c r="M130" s="163">
        <f t="shared" ref="M130:M133" si="127">AI95</f>
        <v>190204.47204659999</v>
      </c>
    </row>
    <row r="131" spans="4:13" ht="15" customHeight="1" x14ac:dyDescent="0.3">
      <c r="D131" s="142" t="s">
        <v>113</v>
      </c>
      <c r="E131" s="163">
        <f t="shared" si="119"/>
        <v>829072.1100000001</v>
      </c>
      <c r="F131" s="163">
        <f t="shared" si="120"/>
        <v>299414.08177213499</v>
      </c>
      <c r="G131" s="163">
        <f t="shared" si="121"/>
        <v>143301.203496</v>
      </c>
      <c r="H131" s="163">
        <f t="shared" si="122"/>
        <v>330755.4613272461</v>
      </c>
      <c r="I131" s="163">
        <f t="shared" si="123"/>
        <v>96288.273711492031</v>
      </c>
      <c r="J131" s="163">
        <f t="shared" si="124"/>
        <v>36279.124205576605</v>
      </c>
      <c r="K131" s="163">
        <f t="shared" si="125"/>
        <v>938592.53573100013</v>
      </c>
      <c r="L131" s="163">
        <f t="shared" si="126"/>
        <v>310194.44306484144</v>
      </c>
      <c r="M131" s="163">
        <f t="shared" si="127"/>
        <v>153092.63089858062</v>
      </c>
    </row>
    <row r="132" spans="4:13" ht="15" customHeight="1" x14ac:dyDescent="0.3">
      <c r="D132" s="142" t="s">
        <v>114</v>
      </c>
      <c r="E132" s="163">
        <f t="shared" si="119"/>
        <v>440651.82646500005</v>
      </c>
      <c r="F132" s="163">
        <f t="shared" si="120"/>
        <v>273235.80139861495</v>
      </c>
      <c r="G132" s="163">
        <f t="shared" si="121"/>
        <v>94157.563104000001</v>
      </c>
      <c r="H132" s="163">
        <f t="shared" si="122"/>
        <v>214099.14264318199</v>
      </c>
      <c r="I132" s="163">
        <f t="shared" si="123"/>
        <v>87869.626829612927</v>
      </c>
      <c r="J132" s="163">
        <f t="shared" si="124"/>
        <v>23837.580169658402</v>
      </c>
      <c r="K132" s="163">
        <f t="shared" si="125"/>
        <v>687052.05755699996</v>
      </c>
      <c r="L132" s="163">
        <f t="shared" si="126"/>
        <v>384420.77554059296</v>
      </c>
      <c r="M132" s="163">
        <f t="shared" si="127"/>
        <v>160177.98308159999</v>
      </c>
    </row>
    <row r="133" spans="4:13" ht="15" customHeight="1" x14ac:dyDescent="0.3">
      <c r="D133" s="142" t="s">
        <v>115</v>
      </c>
      <c r="E133" s="163">
        <f t="shared" si="119"/>
        <v>375569.66583000001</v>
      </c>
      <c r="F133" s="163">
        <f t="shared" si="120"/>
        <v>104713.12149407997</v>
      </c>
      <c r="G133" s="163">
        <f t="shared" si="121"/>
        <v>77225.720615999991</v>
      </c>
      <c r="H133" s="163">
        <f t="shared" si="122"/>
        <v>182477.72646728402</v>
      </c>
      <c r="I133" s="163">
        <f t="shared" si="123"/>
        <v>33674.587527516334</v>
      </c>
      <c r="J133" s="163">
        <f t="shared" si="124"/>
        <v>19550.997770728602</v>
      </c>
      <c r="K133" s="163">
        <f t="shared" si="125"/>
        <v>529228.82092693553</v>
      </c>
      <c r="L133" s="163">
        <f t="shared" si="126"/>
        <v>112154.93103574593</v>
      </c>
      <c r="M133" s="163">
        <f t="shared" si="127"/>
        <v>100517.32833119998</v>
      </c>
    </row>
    <row r="136" spans="4:13" ht="15" customHeight="1" x14ac:dyDescent="0.3">
      <c r="E136" s="208" t="s">
        <v>637</v>
      </c>
      <c r="F136" s="208"/>
      <c r="G136" s="208"/>
      <c r="H136" s="208" t="s">
        <v>642</v>
      </c>
      <c r="I136" s="208"/>
      <c r="J136" s="208"/>
      <c r="K136" s="208" t="s">
        <v>643</v>
      </c>
      <c r="L136" s="208"/>
      <c r="M136" s="208"/>
    </row>
    <row r="137" spans="4:13" ht="27" customHeight="1" x14ac:dyDescent="0.3">
      <c r="D137" s="131" t="s">
        <v>638</v>
      </c>
      <c r="E137" s="162" t="s">
        <v>1</v>
      </c>
      <c r="F137" s="162" t="s">
        <v>2</v>
      </c>
      <c r="G137" s="162" t="s">
        <v>646</v>
      </c>
      <c r="H137" s="162" t="s">
        <v>1</v>
      </c>
      <c r="I137" s="162" t="s">
        <v>2</v>
      </c>
      <c r="J137" s="162" t="s">
        <v>646</v>
      </c>
      <c r="K137" s="162" t="s">
        <v>1</v>
      </c>
      <c r="L137" s="162" t="s">
        <v>2</v>
      </c>
      <c r="M137" s="162" t="s">
        <v>646</v>
      </c>
    </row>
    <row r="138" spans="4:13" ht="15" customHeight="1" x14ac:dyDescent="0.3">
      <c r="D138" s="142" t="s">
        <v>111</v>
      </c>
      <c r="E138" s="164">
        <f>E129/1000</f>
        <v>123.946280445</v>
      </c>
      <c r="F138" s="164">
        <f>H129/1000</f>
        <v>60.221677940085996</v>
      </c>
      <c r="G138" s="152">
        <f>K129/1000</f>
        <v>176.34363779700001</v>
      </c>
      <c r="H138" s="152">
        <f>F129/1000</f>
        <v>58.901130840419995</v>
      </c>
      <c r="I138" s="152">
        <f>I129/1000</f>
        <v>18.941955484227936</v>
      </c>
      <c r="J138" s="152">
        <f>L129/1000</f>
        <v>59.210179983718497</v>
      </c>
      <c r="K138" s="152">
        <f>G129/1000</f>
        <v>31.385854367999997</v>
      </c>
      <c r="L138" s="152">
        <f>J129/1000</f>
        <v>7.9458600565528004</v>
      </c>
      <c r="M138" s="152">
        <f>M129/1000</f>
        <v>34.607034158399998</v>
      </c>
    </row>
    <row r="139" spans="4:13" ht="15" customHeight="1" x14ac:dyDescent="0.3">
      <c r="D139" s="142" t="s">
        <v>112</v>
      </c>
      <c r="E139" s="164">
        <f t="shared" ref="E139:E142" si="128">E130/1000</f>
        <v>475.05831903000001</v>
      </c>
      <c r="F139" s="152">
        <f t="shared" ref="F139:F142" si="129">H130/1000</f>
        <v>230.81619705464399</v>
      </c>
      <c r="G139" s="152">
        <f t="shared" ref="G139:G142" si="130">K130/1000</f>
        <v>676.58661653769229</v>
      </c>
      <c r="H139" s="152">
        <f t="shared" ref="H139:H142" si="131">F130/1000</f>
        <v>256.32899532404991</v>
      </c>
      <c r="I139" s="152">
        <f t="shared" ref="I139:I142" si="132">I130/1000</f>
        <v>82.43258405173269</v>
      </c>
      <c r="J139" s="152">
        <f t="shared" ref="J139:J142" si="133">L130/1000</f>
        <v>370.98622748779343</v>
      </c>
      <c r="K139" s="152">
        <f t="shared" ref="K139:K142" si="134">G130/1000</f>
        <v>156.92927184000001</v>
      </c>
      <c r="L139" s="152">
        <f t="shared" ref="L139:L142" si="135">J130/1000</f>
        <v>39.729300282764001</v>
      </c>
      <c r="M139" s="152">
        <f t="shared" ref="M139:M142" si="136">M130/1000</f>
        <v>190.20447204659999</v>
      </c>
    </row>
    <row r="140" spans="4:13" ht="15" customHeight="1" x14ac:dyDescent="0.3">
      <c r="D140" s="142" t="s">
        <v>113</v>
      </c>
      <c r="E140" s="164">
        <f t="shared" si="128"/>
        <v>829.07211000000007</v>
      </c>
      <c r="F140" s="152">
        <f t="shared" si="129"/>
        <v>330.75546132724611</v>
      </c>
      <c r="G140" s="152">
        <f t="shared" si="130"/>
        <v>938.59253573100011</v>
      </c>
      <c r="H140" s="152">
        <f t="shared" si="131"/>
        <v>299.41408177213498</v>
      </c>
      <c r="I140" s="152">
        <f t="shared" si="132"/>
        <v>96.288273711492025</v>
      </c>
      <c r="J140" s="152">
        <f t="shared" si="133"/>
        <v>310.19444306484144</v>
      </c>
      <c r="K140" s="152">
        <f t="shared" si="134"/>
        <v>143.301203496</v>
      </c>
      <c r="L140" s="152">
        <f t="shared" si="135"/>
        <v>36.279124205576608</v>
      </c>
      <c r="M140" s="152">
        <f t="shared" si="136"/>
        <v>153.09263089858064</v>
      </c>
    </row>
    <row r="141" spans="4:13" ht="15" customHeight="1" x14ac:dyDescent="0.3">
      <c r="D141" s="142" t="s">
        <v>114</v>
      </c>
      <c r="E141" s="164">
        <f t="shared" si="128"/>
        <v>440.65182646500006</v>
      </c>
      <c r="F141" s="152">
        <f t="shared" si="129"/>
        <v>214.09914264318198</v>
      </c>
      <c r="G141" s="152">
        <f t="shared" si="130"/>
        <v>687.05205755700001</v>
      </c>
      <c r="H141" s="152">
        <f t="shared" si="131"/>
        <v>273.23580139861497</v>
      </c>
      <c r="I141" s="152">
        <f t="shared" si="132"/>
        <v>87.869626829612926</v>
      </c>
      <c r="J141" s="152">
        <f t="shared" si="133"/>
        <v>384.42077554059296</v>
      </c>
      <c r="K141" s="152">
        <f t="shared" si="134"/>
        <v>94.157563104000005</v>
      </c>
      <c r="L141" s="152">
        <f t="shared" si="135"/>
        <v>23.837580169658402</v>
      </c>
      <c r="M141" s="152">
        <f t="shared" si="136"/>
        <v>160.17798308159999</v>
      </c>
    </row>
    <row r="142" spans="4:13" ht="15" customHeight="1" x14ac:dyDescent="0.3">
      <c r="D142" s="142" t="s">
        <v>115</v>
      </c>
      <c r="E142" s="164">
        <f t="shared" si="128"/>
        <v>375.56966583000002</v>
      </c>
      <c r="F142" s="152">
        <f t="shared" si="129"/>
        <v>182.47772646728401</v>
      </c>
      <c r="G142" s="152">
        <f t="shared" si="130"/>
        <v>529.22882092693555</v>
      </c>
      <c r="H142" s="152">
        <f t="shared" si="131"/>
        <v>104.71312149407997</v>
      </c>
      <c r="I142" s="152">
        <f t="shared" si="132"/>
        <v>33.674587527516337</v>
      </c>
      <c r="J142" s="152">
        <f t="shared" si="133"/>
        <v>112.15493103574593</v>
      </c>
      <c r="K142" s="152">
        <f t="shared" si="134"/>
        <v>77.22572061599999</v>
      </c>
      <c r="L142" s="152">
        <f t="shared" si="135"/>
        <v>19.550997770728603</v>
      </c>
      <c r="M142" s="152">
        <f t="shared" si="136"/>
        <v>100.51732833119999</v>
      </c>
    </row>
    <row r="143" spans="4:13" ht="15" customHeight="1" x14ac:dyDescent="0.3">
      <c r="E143" s="163"/>
    </row>
    <row r="147" spans="7:13" ht="15" customHeight="1" x14ac:dyDescent="0.3">
      <c r="G147" s="209"/>
      <c r="H147" s="209"/>
      <c r="I147" s="209"/>
      <c r="J147" s="209"/>
      <c r="K147" s="209"/>
      <c r="L147" s="209"/>
      <c r="M147" s="209"/>
    </row>
    <row r="148" spans="7:13" ht="15" customHeight="1" x14ac:dyDescent="0.3">
      <c r="G148" s="209"/>
      <c r="H148" s="209"/>
      <c r="I148" s="209"/>
      <c r="J148" s="209"/>
      <c r="K148" s="209"/>
      <c r="L148" s="209"/>
      <c r="M148" s="209"/>
    </row>
    <row r="149" spans="7:13" ht="15" customHeight="1" x14ac:dyDescent="0.3">
      <c r="G149" s="209"/>
      <c r="H149" s="209"/>
      <c r="I149" s="209"/>
      <c r="J149" s="209"/>
      <c r="K149" s="209"/>
      <c r="L149" s="209"/>
      <c r="M149" s="209"/>
    </row>
    <row r="150" spans="7:13" ht="15" customHeight="1" x14ac:dyDescent="0.3">
      <c r="G150" s="209"/>
      <c r="H150" s="209"/>
      <c r="I150" s="209"/>
      <c r="J150" s="209"/>
      <c r="K150" s="209"/>
      <c r="L150" s="209"/>
      <c r="M150" s="209"/>
    </row>
    <row r="151" spans="7:13" ht="15" customHeight="1" x14ac:dyDescent="0.3">
      <c r="G151" s="209"/>
      <c r="H151" s="209"/>
      <c r="I151" s="209"/>
      <c r="J151" s="209"/>
      <c r="K151" s="209"/>
      <c r="L151" s="209"/>
      <c r="M151" s="209"/>
    </row>
    <row r="152" spans="7:13" ht="15" customHeight="1" x14ac:dyDescent="0.3">
      <c r="G152" s="209"/>
      <c r="H152" s="209"/>
      <c r="I152" s="209"/>
      <c r="J152" s="209"/>
      <c r="K152" s="209"/>
      <c r="L152" s="209"/>
      <c r="M152" s="209"/>
    </row>
    <row r="153" spans="7:13" ht="15" customHeight="1" x14ac:dyDescent="0.3">
      <c r="G153" s="209"/>
      <c r="H153" s="209"/>
      <c r="I153" s="209"/>
      <c r="J153" s="209"/>
      <c r="K153" s="209"/>
      <c r="L153" s="209"/>
      <c r="M153" s="209"/>
    </row>
    <row r="154" spans="7:13" ht="15" customHeight="1" x14ac:dyDescent="0.3">
      <c r="G154" s="209"/>
      <c r="H154" s="209"/>
      <c r="I154" s="209"/>
      <c r="J154" s="209"/>
      <c r="K154" s="209"/>
      <c r="L154" s="209"/>
      <c r="M154" s="209"/>
    </row>
    <row r="155" spans="7:13" ht="15" customHeight="1" x14ac:dyDescent="0.3">
      <c r="G155" s="209"/>
      <c r="H155" s="209"/>
      <c r="I155" s="209"/>
      <c r="J155" s="209"/>
      <c r="K155" s="209"/>
      <c r="L155" s="209"/>
      <c r="M155" s="209"/>
    </row>
    <row r="156" spans="7:13" ht="15" customHeight="1" x14ac:dyDescent="0.3">
      <c r="G156" s="209"/>
      <c r="H156" s="209"/>
      <c r="I156" s="209"/>
      <c r="J156" s="209"/>
      <c r="K156" s="209"/>
      <c r="L156" s="209"/>
      <c r="M156" s="209"/>
    </row>
    <row r="157" spans="7:13" ht="15" customHeight="1" x14ac:dyDescent="0.3">
      <c r="G157" s="209"/>
      <c r="H157" s="209"/>
      <c r="I157" s="209"/>
      <c r="J157" s="209"/>
      <c r="K157" s="209"/>
      <c r="L157" s="209"/>
      <c r="M157" s="209"/>
    </row>
    <row r="158" spans="7:13" ht="15" customHeight="1" x14ac:dyDescent="0.3">
      <c r="G158" s="209"/>
      <c r="H158" s="209"/>
      <c r="I158" s="209"/>
      <c r="J158" s="209"/>
      <c r="K158" s="209"/>
      <c r="L158" s="209"/>
      <c r="M158" s="209"/>
    </row>
    <row r="159" spans="7:13" ht="15" customHeight="1" x14ac:dyDescent="0.3">
      <c r="G159" s="209"/>
      <c r="H159" s="209"/>
      <c r="I159" s="209"/>
      <c r="J159" s="209"/>
      <c r="K159" s="209"/>
      <c r="L159" s="209"/>
      <c r="M159" s="209"/>
    </row>
    <row r="160" spans="7:13" ht="15" customHeight="1" x14ac:dyDescent="0.3">
      <c r="G160" s="209"/>
      <c r="H160" s="209"/>
      <c r="I160" s="209"/>
      <c r="J160" s="209"/>
      <c r="K160" s="209"/>
      <c r="L160" s="209"/>
      <c r="M160" s="209"/>
    </row>
    <row r="161" spans="7:13" ht="15" customHeight="1" x14ac:dyDescent="0.3">
      <c r="G161" s="209"/>
      <c r="H161" s="209"/>
      <c r="I161" s="209"/>
      <c r="J161" s="209"/>
      <c r="K161" s="209"/>
      <c r="L161" s="209"/>
      <c r="M161" s="209"/>
    </row>
    <row r="162" spans="7:13" ht="15" customHeight="1" x14ac:dyDescent="0.3">
      <c r="G162" s="209"/>
      <c r="H162" s="209"/>
      <c r="I162" s="209"/>
      <c r="J162" s="209"/>
      <c r="K162" s="209"/>
      <c r="L162" s="209"/>
      <c r="M162" s="209"/>
    </row>
    <row r="163" spans="7:13" ht="15" customHeight="1" x14ac:dyDescent="0.3">
      <c r="G163" s="209"/>
      <c r="H163" s="209"/>
      <c r="I163" s="209"/>
      <c r="J163" s="209"/>
      <c r="K163" s="209"/>
      <c r="L163" s="209"/>
      <c r="M163" s="209"/>
    </row>
    <row r="164" spans="7:13" ht="15" customHeight="1" x14ac:dyDescent="0.3">
      <c r="G164" s="209"/>
      <c r="H164" s="209"/>
      <c r="I164" s="209"/>
      <c r="J164" s="209"/>
      <c r="K164" s="209"/>
      <c r="L164" s="209"/>
      <c r="M164" s="209"/>
    </row>
    <row r="165" spans="7:13" ht="15" customHeight="1" x14ac:dyDescent="0.3">
      <c r="G165" s="209"/>
      <c r="H165" s="209"/>
      <c r="I165" s="209"/>
      <c r="J165" s="209"/>
      <c r="K165" s="209"/>
      <c r="L165" s="209"/>
      <c r="M165" s="209"/>
    </row>
    <row r="166" spans="7:13" ht="15" customHeight="1" x14ac:dyDescent="0.3">
      <c r="G166" s="209"/>
      <c r="H166" s="209"/>
      <c r="I166" s="209"/>
      <c r="J166" s="209"/>
      <c r="K166" s="209"/>
      <c r="L166" s="209"/>
      <c r="M166" s="209"/>
    </row>
    <row r="167" spans="7:13" ht="15" customHeight="1" x14ac:dyDescent="0.3">
      <c r="G167" s="209"/>
      <c r="H167" s="209"/>
      <c r="I167" s="209"/>
      <c r="J167" s="209"/>
      <c r="K167" s="209"/>
      <c r="L167" s="209"/>
      <c r="M167" s="209"/>
    </row>
    <row r="168" spans="7:13" ht="15" customHeight="1" x14ac:dyDescent="0.3">
      <c r="G168" s="209"/>
      <c r="H168" s="209"/>
      <c r="I168" s="209"/>
      <c r="J168" s="209"/>
      <c r="K168" s="209"/>
      <c r="L168" s="209"/>
      <c r="M168" s="209"/>
    </row>
    <row r="169" spans="7:13" ht="15" customHeight="1" x14ac:dyDescent="0.3">
      <c r="G169" s="209"/>
      <c r="H169" s="209"/>
      <c r="I169" s="209"/>
      <c r="J169" s="209"/>
      <c r="K169" s="209"/>
      <c r="L169" s="209"/>
      <c r="M169" s="209"/>
    </row>
    <row r="170" spans="7:13" ht="15" customHeight="1" x14ac:dyDescent="0.3">
      <c r="G170" s="209"/>
      <c r="H170" s="209"/>
      <c r="I170" s="209"/>
      <c r="J170" s="209"/>
      <c r="K170" s="209"/>
      <c r="L170" s="209"/>
      <c r="M170" s="209"/>
    </row>
    <row r="171" spans="7:13" ht="15" customHeight="1" x14ac:dyDescent="0.3">
      <c r="G171" s="209"/>
      <c r="H171" s="209"/>
      <c r="I171" s="209"/>
      <c r="J171" s="209"/>
      <c r="K171" s="209"/>
      <c r="L171" s="209"/>
      <c r="M171" s="209"/>
    </row>
    <row r="172" spans="7:13" ht="15" customHeight="1" x14ac:dyDescent="0.3">
      <c r="G172" s="209"/>
      <c r="H172" s="209"/>
      <c r="I172" s="209"/>
      <c r="J172" s="209"/>
      <c r="K172" s="209"/>
      <c r="L172" s="209"/>
      <c r="M172" s="209"/>
    </row>
  </sheetData>
  <mergeCells count="19">
    <mergeCell ref="E136:G136"/>
    <mergeCell ref="H136:J136"/>
    <mergeCell ref="K136:M136"/>
    <mergeCell ref="G147:M172"/>
    <mergeCell ref="E127:G127"/>
    <mergeCell ref="H127:J127"/>
    <mergeCell ref="K127:M127"/>
    <mergeCell ref="B94:B98"/>
    <mergeCell ref="B79:B83"/>
    <mergeCell ref="B86:B90"/>
    <mergeCell ref="B9:C9"/>
    <mergeCell ref="B13:B18"/>
    <mergeCell ref="B21:B26"/>
    <mergeCell ref="B29:B34"/>
    <mergeCell ref="B37:B42"/>
    <mergeCell ref="B54:B59"/>
    <mergeCell ref="B62:B67"/>
    <mergeCell ref="B70:B75"/>
    <mergeCell ref="B46:B51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7878-32D8-403B-BADE-A5A519C64F8E}">
  <dimension ref="B2:AL16"/>
  <sheetViews>
    <sheetView workbookViewId="0">
      <selection activeCell="B2" sqref="B2"/>
    </sheetView>
  </sheetViews>
  <sheetFormatPr defaultColWidth="8.88671875" defaultRowHeight="14.4" x14ac:dyDescent="0.3"/>
  <cols>
    <col min="1" max="1" width="8.88671875" style="228"/>
    <col min="2" max="2" width="33.21875" style="228" customWidth="1"/>
    <col min="3" max="3" width="15.6640625" style="228" customWidth="1"/>
    <col min="4" max="9" width="14.44140625" style="228" customWidth="1"/>
    <col min="10" max="10" width="12.88671875" style="228" customWidth="1"/>
    <col min="11" max="11" width="16.5546875" style="228" customWidth="1"/>
    <col min="12" max="12" width="15" style="228" customWidth="1"/>
    <col min="13" max="14" width="8.88671875" style="228"/>
    <col min="15" max="15" width="39" style="228" customWidth="1"/>
    <col min="16" max="22" width="13.33203125" style="228" customWidth="1"/>
    <col min="23" max="24" width="11.109375" style="228" customWidth="1"/>
    <col min="25" max="25" width="12.5546875" style="228" customWidth="1"/>
    <col min="26" max="27" width="8.88671875" style="228"/>
    <col min="28" max="28" width="45.33203125" style="228" customWidth="1"/>
    <col min="29" max="29" width="14.109375" style="228" customWidth="1"/>
    <col min="30" max="35" width="13.33203125" style="228" customWidth="1"/>
    <col min="36" max="36" width="9.6640625" style="228" customWidth="1"/>
    <col min="37" max="37" width="11" style="228" customWidth="1"/>
    <col min="38" max="38" width="12.6640625" style="228" customWidth="1"/>
    <col min="39" max="16384" width="8.88671875" style="228"/>
  </cols>
  <sheetData>
    <row r="2" spans="2:38" x14ac:dyDescent="0.3">
      <c r="B2" s="239" t="s">
        <v>666</v>
      </c>
    </row>
    <row r="4" spans="2:38" s="235" customFormat="1" ht="51.6" customHeight="1" x14ac:dyDescent="0.3">
      <c r="B4" s="237" t="s">
        <v>176</v>
      </c>
      <c r="C4" s="234" t="s">
        <v>184</v>
      </c>
      <c r="D4" s="234" t="s">
        <v>188</v>
      </c>
      <c r="E4" s="234" t="s">
        <v>192</v>
      </c>
      <c r="F4" s="234" t="s">
        <v>196</v>
      </c>
      <c r="G4" s="234" t="s">
        <v>200</v>
      </c>
      <c r="H4" s="234" t="s">
        <v>203</v>
      </c>
      <c r="I4" s="234" t="s">
        <v>206</v>
      </c>
      <c r="J4" s="234" t="s">
        <v>162</v>
      </c>
      <c r="K4" s="234" t="s">
        <v>655</v>
      </c>
      <c r="L4" s="234" t="s">
        <v>656</v>
      </c>
      <c r="O4" s="236" t="s">
        <v>177</v>
      </c>
      <c r="P4" s="168" t="s">
        <v>184</v>
      </c>
      <c r="Q4" s="168" t="s">
        <v>188</v>
      </c>
      <c r="R4" s="168" t="s">
        <v>192</v>
      </c>
      <c r="S4" s="168" t="s">
        <v>196</v>
      </c>
      <c r="T4" s="168" t="s">
        <v>200</v>
      </c>
      <c r="U4" s="168" t="s">
        <v>203</v>
      </c>
      <c r="V4" s="168" t="s">
        <v>206</v>
      </c>
      <c r="W4" s="167" t="s">
        <v>162</v>
      </c>
      <c r="X4" s="167" t="s">
        <v>655</v>
      </c>
      <c r="Y4" s="167" t="s">
        <v>656</v>
      </c>
      <c r="AB4" s="238" t="s">
        <v>178</v>
      </c>
      <c r="AC4" s="168" t="s">
        <v>184</v>
      </c>
      <c r="AD4" s="168" t="s">
        <v>188</v>
      </c>
      <c r="AE4" s="168" t="s">
        <v>192</v>
      </c>
      <c r="AF4" s="168" t="s">
        <v>196</v>
      </c>
      <c r="AG4" s="168" t="s">
        <v>200</v>
      </c>
      <c r="AH4" s="168" t="s">
        <v>203</v>
      </c>
      <c r="AI4" s="168" t="s">
        <v>206</v>
      </c>
      <c r="AJ4" s="167" t="s">
        <v>162</v>
      </c>
      <c r="AK4" s="167" t="s">
        <v>655</v>
      </c>
      <c r="AL4" s="167" t="s">
        <v>656</v>
      </c>
    </row>
    <row r="5" spans="2:38" ht="19.5" customHeight="1" x14ac:dyDescent="0.35">
      <c r="B5" s="228" t="s">
        <v>133</v>
      </c>
      <c r="C5" s="228">
        <v>0</v>
      </c>
      <c r="D5" s="228">
        <v>0</v>
      </c>
      <c r="E5" s="228">
        <v>0</v>
      </c>
      <c r="F5" s="228">
        <v>0</v>
      </c>
      <c r="G5" s="228">
        <v>0</v>
      </c>
      <c r="H5" s="228">
        <v>0</v>
      </c>
      <c r="I5" s="228">
        <v>0</v>
      </c>
      <c r="J5" s="228">
        <v>0</v>
      </c>
      <c r="O5" s="169" t="s">
        <v>135</v>
      </c>
      <c r="AB5" s="169" t="s">
        <v>136</v>
      </c>
      <c r="AC5" s="229">
        <f>'Monday Est.'!AA16+'Monday Est.'!AA30+'Monday Est.'!AA44+'Monday Est.'!AA59+'Monday Est.'!AA73</f>
        <v>0</v>
      </c>
      <c r="AD5" s="229">
        <f>'Tuesday Est.'!AA16+'Tuesday Est.'!AA31+'Tuesday Est.'!AA46+'Tuesday Est.'!AA61+'Tuesday Est.'!AA76</f>
        <v>0</v>
      </c>
      <c r="AE5" s="229">
        <f>'Wednesday Est.'!AA16+'Wednesday Est.'!AA31+'Wednesday Est.'!AA46+'Wednesday Est.'!AA61+'Wednesday Est.'!AA76</f>
        <v>0</v>
      </c>
      <c r="AF5" s="229">
        <f>'Thursday Est.'!AB16+'Thursday Est.'!AB31+'Thursday Est.'!AB46+'Thursday Est.'!AB61+'Thursday Est.'!AB76</f>
        <v>0</v>
      </c>
      <c r="AG5" s="229">
        <f>'Friday Est'!R16+'Friday Est'!R31+'Friday Est'!R46+'Friday Est'!R61+'Friday Est'!R76</f>
        <v>0</v>
      </c>
      <c r="AH5" s="229">
        <f>'Saturday Est.'!AA16+'Saturday Est.'!AA32+'Saturday Est.'!AA48+'Saturday Est.'!AA64+'Saturday Est.'!AA80</f>
        <v>0</v>
      </c>
      <c r="AI5" s="229">
        <f>'Sunday Est.'!AA16+'Sunday Est.'!AA31+'Sunday Est.'!AA46+'Sunday Est.'!AA61+'Sunday Est.'!AA76</f>
        <v>0</v>
      </c>
      <c r="AJ5" s="230">
        <f>SUM(AC5:AI5)</f>
        <v>0</v>
      </c>
      <c r="AK5" s="231">
        <f>AJ5*4</f>
        <v>0</v>
      </c>
      <c r="AL5" s="231">
        <f>AJ5*52</f>
        <v>0</v>
      </c>
    </row>
    <row r="6" spans="2:38" ht="19.5" customHeight="1" x14ac:dyDescent="0.35">
      <c r="B6" s="228" t="s">
        <v>137</v>
      </c>
      <c r="C6" s="229">
        <f>'Monday Est.'!I17+'Monday Est.'!I31+'Monday Est.'!I45+'Monday Est.'!I60+'Monday Est.'!I74</f>
        <v>2056.86645</v>
      </c>
      <c r="D6" s="229">
        <f>'Tuesday Est.'!I17+'Tuesday Est.'!I32+'Tuesday Est.'!I47+'Tuesday Est.'!I62+'Tuesday Est.'!I77</f>
        <v>2022.1025100000002</v>
      </c>
      <c r="E6" s="229">
        <f>'Wednesday Est.'!I17+'Wednesday Est.'!I32+'Wednesday Est.'!I47+'Wednesday Est.'!I62+'Wednesday Est.'!I77</f>
        <v>1886.9094100000002</v>
      </c>
      <c r="F6" s="229">
        <f>'Thursday Est.'!I17+'Thursday Est.'!I32+'Thursday Est.'!I47+'Thursday Est.'!I62+'Thursday Est.'!I77</f>
        <v>1886.9094100000002</v>
      </c>
      <c r="G6" s="229">
        <f>'Friday Est'!I17+'Friday Est'!I32+'Friday Est'!I47+'Friday Est'!I62+'Friday Est'!I77</f>
        <v>1388.62627</v>
      </c>
      <c r="H6" s="229">
        <f>'Saturday Est.'!I17+'Saturday Est.'!I33+'Saturday Est.'!I49+'Saturday Est.'!I65+'Saturday Est.'!I81</f>
        <v>834.33456000000001</v>
      </c>
      <c r="I6" s="229">
        <f>'Sunday Est.'!I17+'Sunday Est.'!I32+'Sunday Est.'!I47+'Sunday Est.'!I62+'Sunday Est.'!I77</f>
        <v>380.47201000000001</v>
      </c>
      <c r="J6" s="229">
        <f>SUM(C6:I6)</f>
        <v>10456.22062</v>
      </c>
      <c r="K6" s="229">
        <f>J6*4</f>
        <v>41824.88248</v>
      </c>
      <c r="L6" s="229">
        <f>J6*52</f>
        <v>543723.47224000003</v>
      </c>
      <c r="O6" s="169" t="s">
        <v>139</v>
      </c>
      <c r="P6" s="229">
        <f>'Monday Est.'!P17+'Monday Est.'!P31+'Monday Est.'!P45+'Monday Est.'!P60+'Monday Est.'!P74</f>
        <v>10</v>
      </c>
      <c r="Q6" s="229">
        <f>'Tuesday Est.'!R17+'Tuesday Est.'!R32+'Tuesday Est.'!R47+'Tuesday Est.'!R62+'Tuesday Est.'!R77</f>
        <v>54.181423428571414</v>
      </c>
      <c r="R6" s="229">
        <f>'Wednesday Est.'!R17+'Wednesday Est.'!R32+'Wednesday Est.'!R47+'Wednesday Est.'!R62+'Wednesday Est.'!R77</f>
        <v>53.817789714285709</v>
      </c>
      <c r="S6" s="229">
        <f>'Thursday Est.'!S17+'Thursday Est.'!S32+'Thursday Est.'!S47+'Thursday Est.'!S62+'Thursday Est.'!S77</f>
        <v>52.363254857142849</v>
      </c>
      <c r="T6" s="229">
        <f>'Friday Est'!R17+'Friday Est'!R32+'Friday Est'!R47+'Friday Est'!R62+'Friday Est'!R77</f>
        <v>51.090536857142851</v>
      </c>
      <c r="U6" s="229">
        <f>'Saturday Est.'!I17+'Saturday Est.'!I33+'Saturday Est.'!I49+'Saturday Est.'!I65+'Saturday Est.'!I81</f>
        <v>834.33456000000001</v>
      </c>
      <c r="V6" s="229">
        <f>'Sunday Est.'!R17+'Sunday Est.'!R32+'Sunday Est.'!R47+'Sunday Est.'!R62+'Sunday Est.'!R77</f>
        <v>29.272513999999997</v>
      </c>
      <c r="W6" s="232">
        <f>SUM(P6:V6)</f>
        <v>1085.0600788571428</v>
      </c>
      <c r="X6" s="231">
        <f>W6*4</f>
        <v>4340.2403154285712</v>
      </c>
      <c r="Y6" s="231">
        <f>W6*52</f>
        <v>56423.124100571426</v>
      </c>
      <c r="AB6" s="169" t="s">
        <v>141</v>
      </c>
      <c r="AC6" s="229">
        <f>'Monday Est.'!AA17+'Monday Est.'!AA31+'Monday Est.'!AA45+'Monday Est.'!AA60+'Monday Est.'!AA74</f>
        <v>104.7655345</v>
      </c>
      <c r="AD6" s="229">
        <f>'Tuesday Est.'!AA17+'Tuesday Est.'!AA32+'Tuesday Est.'!AA47+'Tuesday Est.'!AA62+'Tuesday Est.'!AA77</f>
        <v>103.76299349999999</v>
      </c>
      <c r="AE6" s="229">
        <f>'Wednesday Est.'!AA17+'Wednesday Est.'!AA32+'Wednesday Est.'!AA47+'Wednesday Est.'!AA62+'Wednesday Est.'!AA77</f>
        <v>97.747747500000003</v>
      </c>
      <c r="AF6" s="229">
        <f>'Thursday Est.'!AB17+'Thursday Est.'!AB32+'Thursday Est.'!AB47+'Thursday Est.'!AB62+'Thursday Est.'!AB77</f>
        <v>93.23631300000001</v>
      </c>
      <c r="AG6" s="229">
        <f>'Friday Est'!R17+'Friday Est'!R32+'Friday Est'!R47+'Friday Est'!R62+'Friday Est'!R77</f>
        <v>51.090536857142851</v>
      </c>
      <c r="AH6" s="229">
        <f>'Saturday Est.'!AA17+'Saturday Est.'!AA33+'Saturday Est.'!AA49+'Saturday Est.'!AA65+'Saturday Est.'!AA81</f>
        <v>71.180411000000007</v>
      </c>
      <c r="AI6" s="229">
        <f>'Sunday Est.'!AA17+'Sunday Est.'!AA32+'Sunday Est.'!AA47+'Sunday Est.'!AA62+'Sunday Est.'!AA77</f>
        <v>57.144837000000003</v>
      </c>
      <c r="AJ6" s="230">
        <f t="shared" ref="AJ6:AJ9" si="0">SUM(AC6:AI6)</f>
        <v>578.92837335714296</v>
      </c>
      <c r="AK6" s="231">
        <f t="shared" ref="AK6:AK10" si="1">AJ6*4</f>
        <v>2315.7134934285718</v>
      </c>
      <c r="AL6" s="231">
        <f t="shared" ref="AL6:AL10" si="2">AJ6*52</f>
        <v>30104.275414571435</v>
      </c>
    </row>
    <row r="7" spans="2:38" ht="19.5" customHeight="1" x14ac:dyDescent="0.35">
      <c r="B7" s="228" t="s">
        <v>143</v>
      </c>
      <c r="C7" s="229">
        <f>'Monday Est.'!I18+'Monday Est.'!I32+'Monday Est.'!I46+'Monday Est.'!I61+'Monday Est.'!I75</f>
        <v>137.12442999999999</v>
      </c>
      <c r="D7" s="229">
        <f>'Tuesday Est.'!I18+'Tuesday Est.'!I33+'Tuesday Est.'!I48+'Tuesday Est.'!I63+'Tuesday Est.'!I78</f>
        <v>134.80683400000001</v>
      </c>
      <c r="E7" s="229">
        <f>'Wednesday Est.'!I18+'Wednesday Est.'!I33+'Wednesday Est.'!I48+'Wednesday Est.'!I63+'Wednesday Est.'!I78</f>
        <v>125.79396066666666</v>
      </c>
      <c r="F7" s="229">
        <f>'Thursday Est.'!I18+'Thursday Est.'!I33+'Thursday Est.'!I48+'Thursday Est.'!I63+'Thursday Est.'!I78</f>
        <v>125.79396066666666</v>
      </c>
      <c r="G7" s="229">
        <f>'Friday Est'!I18+'Friday Est'!I33+'Friday Est'!I48+'Friday Est'!I63+'Friday Est'!I78</f>
        <v>92.575084666666655</v>
      </c>
      <c r="H7" s="229">
        <f>'Saturday Est.'!I18+'Saturday Est.'!I34+'Saturday Est.'!I50+'Saturday Est.'!I66+'Saturday Est.'!I82</f>
        <v>55.622304</v>
      </c>
      <c r="I7" s="229">
        <f>'Sunday Est.'!I18+'Sunday Est.'!I33+'Sunday Est.'!I48+'Sunday Est.'!I63+'Sunday Est.'!I78</f>
        <v>25.364800666666667</v>
      </c>
      <c r="J7" s="229">
        <f t="shared" ref="J7:J14" si="3">SUM(C7:I7)</f>
        <v>697.08137466666653</v>
      </c>
      <c r="K7" s="229">
        <f t="shared" ref="K7:K14" si="4">J7*4</f>
        <v>2788.3254986666661</v>
      </c>
      <c r="L7" s="229">
        <f t="shared" ref="L7:L14" si="5">J7*52</f>
        <v>36248.231482666662</v>
      </c>
      <c r="O7" s="169" t="s">
        <v>145</v>
      </c>
      <c r="P7" s="229">
        <f>'Monday Est.'!P18+'Monday Est.'!P32+'Monday Est.'!P46+'Monday Est.'!P61+'Monday Est.'!P75</f>
        <v>21.5</v>
      </c>
      <c r="Q7" s="229">
        <f>'Tuesday Est.'!R18+'Tuesday Est.'!R33+'Tuesday Est.'!R48+'Tuesday Est.'!R63+'Tuesday Est.'!R78</f>
        <v>81.272135142857124</v>
      </c>
      <c r="R7" s="229">
        <f>'Wednesday Est.'!R18+'Wednesday Est.'!R33+'Wednesday Est.'!R48+'Wednesday Est.'!R63+'Wednesday Est.'!R78</f>
        <v>80.726684571428564</v>
      </c>
      <c r="S7" s="229">
        <f>'Thursday Est.'!S18+'Thursday Est.'!S33+'Thursday Est.'!S48+'Thursday Est.'!S63+'Thursday Est.'!S78</f>
        <v>78.54488228571428</v>
      </c>
      <c r="T7" s="229">
        <f>'Friday Est'!R18+'Friday Est'!R33+'Friday Est'!R48+'Friday Est'!R63+'Friday Est'!R78</f>
        <v>76.63580528571427</v>
      </c>
      <c r="U7" s="229">
        <f>'Saturday Est.'!I18+'Saturday Est.'!I34+'Saturday Est.'!I50+'Saturday Est.'!I66+'Saturday Est.'!I82</f>
        <v>55.622304</v>
      </c>
      <c r="V7" s="229">
        <f>'Sunday Est.'!R18+'Sunday Est.'!R33+'Sunday Est.'!R48+'Sunday Est.'!R63+'Sunday Est.'!R78</f>
        <v>43.908770999999987</v>
      </c>
      <c r="W7" s="232">
        <f t="shared" ref="W7:W11" si="6">SUM(P7:V7)</f>
        <v>438.21058228571417</v>
      </c>
      <c r="X7" s="231">
        <f t="shared" ref="X7:X11" si="7">W7*4</f>
        <v>1752.8423291428567</v>
      </c>
      <c r="Y7" s="231">
        <f t="shared" ref="Y7:Y11" si="8">W7*52</f>
        <v>22786.950278857137</v>
      </c>
      <c r="AB7" s="169" t="s">
        <v>146</v>
      </c>
      <c r="AC7" s="229">
        <f>'Monday Est.'!AA18+'Monday Est.'!AA32+'Monday Est.'!AA46+'Monday Est.'!AA61+'Monday Est.'!AA75</f>
        <v>87.304612083333339</v>
      </c>
      <c r="AD7" s="229">
        <f>'Tuesday Est.'!AA18+'Tuesday Est.'!AA33+'Tuesday Est.'!AA48+'Tuesday Est.'!AA63+'Tuesday Est.'!AA78</f>
        <v>86.469161250000013</v>
      </c>
      <c r="AE7" s="229">
        <f>'Wednesday Est.'!AA18+'Wednesday Est.'!AA33+'Wednesday Est.'!AA48+'Wednesday Est.'!AA63+'Wednesday Est.'!AA78</f>
        <v>81.456456250000002</v>
      </c>
      <c r="AF7" s="229">
        <f>'Thursday Est.'!AB18+'Thursday Est.'!AB33+'Thursday Est.'!AB48+'Thursday Est.'!AB63+'Thursday Est.'!AB78</f>
        <v>77.696927500000001</v>
      </c>
      <c r="AG7" s="229">
        <f>'Friday Est'!R18+'Friday Est'!R33+'Friday Est'!R48+'Friday Est'!R63+'Friday Est'!R78</f>
        <v>76.63580528571427</v>
      </c>
      <c r="AH7" s="229">
        <f>'Saturday Est.'!AA18+'Saturday Est.'!AA34+'Saturday Est.'!AA50+'Saturday Est.'!AA66+'Saturday Est.'!AA82</f>
        <v>59.317009166666672</v>
      </c>
      <c r="AI7" s="229">
        <f>'Sunday Est.'!AA18+'Sunday Est.'!AA33+'Sunday Est.'!AA48+'Sunday Est.'!AA63+'Sunday Est.'!AA78</f>
        <v>47.620697500000006</v>
      </c>
      <c r="AJ7" s="230">
        <f t="shared" si="0"/>
        <v>516.50066903571428</v>
      </c>
      <c r="AK7" s="231">
        <f t="shared" si="1"/>
        <v>2066.0026761428571</v>
      </c>
      <c r="AL7" s="231">
        <f t="shared" si="2"/>
        <v>26858.034789857142</v>
      </c>
    </row>
    <row r="8" spans="2:38" ht="19.5" customHeight="1" x14ac:dyDescent="0.35">
      <c r="B8" s="228" t="s">
        <v>148</v>
      </c>
      <c r="C8" s="229">
        <f>'Monday Est.'!I19+'Monday Est.'!I33+'Monday Est.'!I47+'Monday Est.'!I62+'Monday Est.'!I76</f>
        <v>274.24885999999998</v>
      </c>
      <c r="D8" s="229">
        <f>'Tuesday Est.'!I19+'Tuesday Est.'!I34+'Tuesday Est.'!I49+'Tuesday Est.'!I64+'Tuesday Est.'!I79</f>
        <v>269.61366800000002</v>
      </c>
      <c r="E8" s="229">
        <f>'Wednesday Est.'!I19+'Wednesday Est.'!I34+'Wednesday Est.'!I49+'Wednesday Est.'!I64+'Wednesday Est.'!I79</f>
        <v>251.58792133333333</v>
      </c>
      <c r="F8" s="229">
        <f>'Thursday Est.'!I19+'Thursday Est.'!I34+'Thursday Est.'!I49+'Thursday Est.'!I64+'Thursday Est.'!I79</f>
        <v>251.58792133333333</v>
      </c>
      <c r="G8" s="229">
        <f>'Friday Est'!I19+'Friday Est'!I34+'Friday Est'!I49+'Friday Est'!I64+'Friday Est'!I79</f>
        <v>185.15016933333331</v>
      </c>
      <c r="H8" s="229">
        <f>'Saturday Est.'!I19+'Saturday Est.'!I35+'Saturday Est.'!I51+'Saturday Est.'!I67+'Saturday Est.'!I83</f>
        <v>111.244608</v>
      </c>
      <c r="I8" s="229">
        <f>'Sunday Est.'!I19+'Sunday Est.'!I34+'Sunday Est.'!I49+'Sunday Est.'!I64+'Sunday Est.'!I79</f>
        <v>50.729601333333335</v>
      </c>
      <c r="J8" s="229">
        <f t="shared" si="3"/>
        <v>1394.1627493333331</v>
      </c>
      <c r="K8" s="229">
        <f t="shared" si="4"/>
        <v>5576.6509973333323</v>
      </c>
      <c r="L8" s="229">
        <f t="shared" si="5"/>
        <v>72496.462965333325</v>
      </c>
      <c r="O8" s="169" t="s">
        <v>150</v>
      </c>
      <c r="P8" s="229">
        <f>'Monday Est.'!P19+'Monday Est.'!P33+'Monday Est.'!P47+'Monday Est.'!P62+'Monday Est.'!P76</f>
        <v>46</v>
      </c>
      <c r="Q8" s="229">
        <f>'Tuesday Est.'!R19+'Tuesday Est.'!R34+'Tuesday Est.'!R49+'Tuesday Est.'!R64+'Tuesday Est.'!R79</f>
        <v>352.1792522857142</v>
      </c>
      <c r="R8" s="229">
        <f>'Wednesday Est.'!R19+'Wednesday Est.'!R34+'Wednesday Est.'!R49+'Wednesday Est.'!R64+'Wednesday Est.'!R79</f>
        <v>349.81563314285711</v>
      </c>
      <c r="S8" s="229">
        <f>'Thursday Est.'!S19+'Thursday Est.'!S34+'Thursday Est.'!S49+'Thursday Est.'!S64+'Thursday Est.'!S79</f>
        <v>340.36115657142852</v>
      </c>
      <c r="T8" s="229">
        <f>'Friday Est'!R19+'Friday Est'!R34+'Friday Est'!R49+'Friday Est'!R64+'Friday Est'!R79</f>
        <v>332.08848957142851</v>
      </c>
      <c r="U8" s="229">
        <f>'Saturday Est.'!I19+'Saturday Est.'!I35+'Saturday Est.'!I51+'Saturday Est.'!I67+'Saturday Est.'!I83</f>
        <v>111.244608</v>
      </c>
      <c r="V8" s="229">
        <f>'Sunday Est.'!R19+'Sunday Est.'!R34+'Sunday Est.'!R49+'Sunday Est.'!R64+'Sunday Est.'!R79</f>
        <v>190.27134099999998</v>
      </c>
      <c r="W8" s="232">
        <f t="shared" si="6"/>
        <v>1721.9604805714282</v>
      </c>
      <c r="X8" s="231">
        <f t="shared" si="7"/>
        <v>6887.8419222857128</v>
      </c>
      <c r="Y8" s="231">
        <f t="shared" si="8"/>
        <v>89541.944989714262</v>
      </c>
      <c r="AB8" s="169" t="s">
        <v>151</v>
      </c>
      <c r="AC8" s="229">
        <f>'Monday Est.'!AA19+'Monday Est.'!AA33+'Monday Est.'!AA47+'Monday Est.'!AA62+'Monday Est.'!AA76</f>
        <v>69.843689666666663</v>
      </c>
      <c r="AD8" s="229">
        <f>'Tuesday Est.'!AA19+'Tuesday Est.'!AA34+'Tuesday Est.'!AA49+'Tuesday Est.'!AA64+'Tuesday Est.'!AA79</f>
        <v>69.175329000000005</v>
      </c>
      <c r="AE8" s="229">
        <f>'Wednesday Est.'!AA19+'Wednesday Est.'!AA34+'Wednesday Est.'!AA49+'Wednesday Est.'!AA64+'Wednesday Est.'!AA79</f>
        <v>65.165165000000002</v>
      </c>
      <c r="AF8" s="229">
        <f>'Thursday Est.'!AB19+'Thursday Est.'!AB34+'Thursday Est.'!AB49+'Thursday Est.'!AB64+'Thursday Est.'!AB79</f>
        <v>62.157541999999999</v>
      </c>
      <c r="AG8" s="229">
        <f>'Friday Est'!R19+'Friday Est'!R34+'Friday Est'!R49+'Friday Est'!R64+'Friday Est'!R79</f>
        <v>332.08848957142851</v>
      </c>
      <c r="AH8" s="229">
        <f>'Saturday Est.'!AA19+'Saturday Est.'!AA35+'Saturday Est.'!AA51+'Saturday Est.'!AA67+'Saturday Est.'!AA83</f>
        <v>47.453607333333331</v>
      </c>
      <c r="AI8" s="229">
        <f>'Sunday Est.'!AA19+'Sunday Est.'!AA34+'Sunday Est.'!AA49+'Sunday Est.'!AA64+'Sunday Est.'!AA79</f>
        <v>38.096558000000002</v>
      </c>
      <c r="AJ8" s="230">
        <f t="shared" si="0"/>
        <v>683.98038057142844</v>
      </c>
      <c r="AK8" s="231">
        <f t="shared" si="1"/>
        <v>2735.9215222857138</v>
      </c>
      <c r="AL8" s="231">
        <f t="shared" si="2"/>
        <v>35566.979789714278</v>
      </c>
    </row>
    <row r="9" spans="2:38" ht="19.5" customHeight="1" x14ac:dyDescent="0.35">
      <c r="B9" s="228" t="s">
        <v>153</v>
      </c>
      <c r="C9" s="229">
        <f>'Monday Est.'!I20+'Monday Est.'!I34+'Monday Est.'!I48+'Monday Est.'!I63+'Monday Est.'!I77</f>
        <v>274.24885999999998</v>
      </c>
      <c r="D9" s="229">
        <f>'Tuesday Est.'!I20+'Tuesday Est.'!I35+'Tuesday Est.'!I50+'Tuesday Est.'!I65+'Tuesday Est.'!I80</f>
        <v>269.61366800000002</v>
      </c>
      <c r="E9" s="229">
        <f>'Wednesday Est.'!I20+'Wednesday Est.'!I35+'Wednesday Est.'!I50+'Wednesday Est.'!I65+'Wednesday Est.'!I80</f>
        <v>251.58792133333333</v>
      </c>
      <c r="F9" s="229">
        <f>'Thursday Est.'!I20+'Thursday Est.'!I35+'Thursday Est.'!I50+'Thursday Est.'!I65+'Thursday Est.'!I80</f>
        <v>251.58792133333333</v>
      </c>
      <c r="G9" s="229">
        <f>'Friday Est'!I20+'Friday Est'!I35+'Friday Est'!I50+'Friday Est'!I65+'Friday Est'!I80</f>
        <v>185.15016933333331</v>
      </c>
      <c r="H9" s="229">
        <f>'Saturday Est.'!I20+'Saturday Est.'!I36+'Saturday Est.'!I52+'Saturday Est.'!I68+'Saturday Est.'!I84</f>
        <v>111.244608</v>
      </c>
      <c r="I9" s="229">
        <f>'Sunday Est.'!I20+'Sunday Est.'!I35+'Sunday Est.'!I50+'Sunday Est.'!I65+'Sunday Est.'!I80</f>
        <v>50.729601333333335</v>
      </c>
      <c r="J9" s="229">
        <f t="shared" si="3"/>
        <v>1394.1627493333331</v>
      </c>
      <c r="K9" s="229">
        <f t="shared" si="4"/>
        <v>5576.6509973333323</v>
      </c>
      <c r="L9" s="229">
        <f t="shared" si="5"/>
        <v>72496.462965333325</v>
      </c>
      <c r="O9" s="169" t="s">
        <v>155</v>
      </c>
      <c r="P9" s="229">
        <f>'Monday Est.'!P20+'Monday Est.'!P34+'Monday Est.'!P48+'Monday Est.'!P63+'Monday Est.'!P77</f>
        <v>34</v>
      </c>
      <c r="Q9" s="229">
        <f>'Tuesday Est.'!R20+'Tuesday Est.'!R35+'Tuesday Est.'!R50+'Tuesday Est.'!R65+'Tuesday Est.'!R80</f>
        <v>162.54427028571425</v>
      </c>
      <c r="R9" s="229">
        <f>'Wednesday Est.'!R20+'Wednesday Est.'!R35+'Wednesday Est.'!R50+'Wednesday Est.'!R65+'Wednesday Est.'!R80</f>
        <v>161.45336914285713</v>
      </c>
      <c r="S9" s="229">
        <f>'Thursday Est.'!S20+'Thursday Est.'!S35+'Thursday Est.'!S50+'Thursday Est.'!S65+'Thursday Est.'!S80</f>
        <v>157.08976457142856</v>
      </c>
      <c r="T9" s="229">
        <f>'Friday Est'!R20+'Friday Est'!R35+'Friday Est'!R50+'Friday Est'!R65+'Friday Est'!R80</f>
        <v>153.27161057142854</v>
      </c>
      <c r="U9" s="229">
        <f>'Saturday Est.'!I20+'Saturday Est.'!I36+'Saturday Est.'!I52+'Saturday Est.'!I68+'Saturday Est.'!I84</f>
        <v>111.244608</v>
      </c>
      <c r="V9" s="229">
        <f>'Sunday Est.'!R20+'Sunday Est.'!R35+'Sunday Est.'!R50+'Sunday Est.'!R65+'Sunday Est.'!R80</f>
        <v>87.817541999999975</v>
      </c>
      <c r="W9" s="232">
        <f t="shared" si="6"/>
        <v>867.42116457142833</v>
      </c>
      <c r="X9" s="231">
        <f t="shared" si="7"/>
        <v>3469.6846582857133</v>
      </c>
      <c r="Y9" s="231">
        <f t="shared" si="8"/>
        <v>45105.900557714274</v>
      </c>
      <c r="AB9" s="169" t="s">
        <v>156</v>
      </c>
      <c r="AC9" s="229">
        <f>'Monday Est.'!AA20+'Monday Est.'!AA34+'Monday Est.'!AA48+'Monday Est.'!AA63+'Monday Est.'!AA77</f>
        <v>157.14830175</v>
      </c>
      <c r="AD9" s="229">
        <f>'Tuesday Est.'!AA20+'Tuesday Est.'!AA35+'Tuesday Est.'!AA50+'Tuesday Est.'!AA65+'Tuesday Est.'!AA80</f>
        <v>155.64449025000002</v>
      </c>
      <c r="AE9" s="229">
        <f>'Wednesday Est.'!AA20+'Wednesday Est.'!AA35+'Wednesday Est.'!AA50+'Wednesday Est.'!AA65+'Wednesday Est.'!AA80</f>
        <v>146.62162125</v>
      </c>
      <c r="AF9" s="229">
        <f>'Thursday Est.'!AB20+'Thursday Est.'!AB35+'Thursday Est.'!AB50+'Thursday Est.'!AB65+'Thursday Est.'!AB80</f>
        <v>139.85446949999999</v>
      </c>
      <c r="AG9" s="229">
        <f>'Friday Est'!R20+'Friday Est'!R35+'Friday Est'!R50+'Friday Est'!R65+'Friday Est'!R80</f>
        <v>153.27161057142854</v>
      </c>
      <c r="AH9" s="229">
        <f>'Saturday Est.'!AA20+'Saturday Est.'!AA36+'Saturday Est.'!AA52+'Saturday Est.'!AA68+'Saturday Est.'!AA84</f>
        <v>106.7706165</v>
      </c>
      <c r="AI9" s="229">
        <f>'Sunday Est.'!AA20+'Sunday Est.'!AA35+'Sunday Est.'!AA50+'Sunday Est.'!AA65+'Sunday Est.'!AA80</f>
        <v>85.717255500000022</v>
      </c>
      <c r="AJ9" s="230">
        <f t="shared" si="0"/>
        <v>945.02836532142851</v>
      </c>
      <c r="AK9" s="231">
        <f t="shared" si="1"/>
        <v>3780.113461285714</v>
      </c>
      <c r="AL9" s="231">
        <f t="shared" si="2"/>
        <v>49141.474996714285</v>
      </c>
    </row>
    <row r="10" spans="2:38" ht="19.5" customHeight="1" x14ac:dyDescent="0.35">
      <c r="B10" s="228" t="s">
        <v>158</v>
      </c>
      <c r="C10" s="229">
        <f>'Monday Est.'!I21+'Monday Est.'!I35+'Monday Est.'!I49+'Monday Est.'!I64+'Monday Est.'!I78</f>
        <v>274.24885999999998</v>
      </c>
      <c r="D10" s="229">
        <f>'Tuesday Est.'!I21+'Tuesday Est.'!I36+'Tuesday Est.'!I51+'Tuesday Est.'!I66+'Tuesday Est.'!I81</f>
        <v>269.61366800000002</v>
      </c>
      <c r="E10" s="229">
        <f>'Wednesday Est.'!I21+'Wednesday Est.'!I36+'Wednesday Est.'!I51+'Wednesday Est.'!I66+'Wednesday Est.'!I81</f>
        <v>251.58792133333333</v>
      </c>
      <c r="F10" s="229">
        <f>'Thursday Est.'!I21+'Thursday Est.'!I36+'Thursday Est.'!I51+'Thursday Est.'!I66+'Thursday Est.'!I81</f>
        <v>251.58792133333333</v>
      </c>
      <c r="G10" s="229">
        <f>'Friday Est'!I21+'Friday Est'!I36+'Friday Est'!I51+'Friday Est'!I66+'Friday Est'!I81</f>
        <v>185.15016933333331</v>
      </c>
      <c r="H10" s="229">
        <f>'Saturday Est.'!I21+'Saturday Est.'!I37+'Saturday Est.'!I53+'Saturday Est.'!I69+'Saturday Est.'!I85</f>
        <v>111.244608</v>
      </c>
      <c r="I10" s="229">
        <f>'Sunday Est.'!I21+'Sunday Est.'!I36+'Sunday Est.'!I51+'Sunday Est.'!I66+'Sunday Est.'!I81</f>
        <v>50.729601333333335</v>
      </c>
      <c r="J10" s="229">
        <f t="shared" si="3"/>
        <v>1394.1627493333331</v>
      </c>
      <c r="K10" s="229">
        <f t="shared" si="4"/>
        <v>5576.6509973333323</v>
      </c>
      <c r="L10" s="229">
        <f t="shared" si="5"/>
        <v>72496.462965333325</v>
      </c>
      <c r="O10" s="169" t="s">
        <v>160</v>
      </c>
      <c r="P10" s="229">
        <f>'Monday Est.'!P21+'Monday Est.'!P35+'Monday Est.'!P49+'Monday Est.'!P64+'Monday Est.'!P78</f>
        <v>40</v>
      </c>
      <c r="Q10" s="229">
        <f>'Tuesday Est.'!R21+'Tuesday Est.'!R36+'Tuesday Est.'!R51+'Tuesday Est.'!R66+'Tuesday Est.'!R81</f>
        <v>189.63498199999995</v>
      </c>
      <c r="R10" s="229">
        <f>'Wednesday Est.'!R21+'Wednesday Est.'!R36+'Wednesday Est.'!R51+'Wednesday Est.'!R66+'Wednesday Est.'!R81</f>
        <v>188.36226399999995</v>
      </c>
      <c r="S10" s="229">
        <f>'Thursday Est.'!S21+'Thursday Est.'!S36+'Thursday Est.'!S51+'Thursday Est.'!S66+'Thursday Est.'!S81</f>
        <v>183.27139199999996</v>
      </c>
      <c r="T10" s="229">
        <f>'Friday Est'!R21+'Friday Est'!R36+'Friday Est'!R51+'Friday Est'!R66+'Friday Est'!R81</f>
        <v>178.81687899999997</v>
      </c>
      <c r="U10" s="229">
        <f>'Saturday Est.'!I21+'Saturday Est.'!I37+'Saturday Est.'!I53+'Saturday Est.'!I69+'Saturday Est.'!I85</f>
        <v>111.244608</v>
      </c>
      <c r="V10" s="229">
        <f>'Sunday Est.'!R21+'Sunday Est.'!R36+'Sunday Est.'!R51+'Sunday Est.'!R66+'Sunday Est.'!R81</f>
        <v>102.45379899999998</v>
      </c>
      <c r="W10" s="232">
        <f t="shared" si="6"/>
        <v>993.78392399999984</v>
      </c>
      <c r="X10" s="231">
        <f t="shared" si="7"/>
        <v>3975.1356959999994</v>
      </c>
      <c r="Y10" s="231">
        <f t="shared" si="8"/>
        <v>51676.76404799999</v>
      </c>
      <c r="AB10" s="170" t="s">
        <v>162</v>
      </c>
      <c r="AC10" s="231">
        <f t="shared" ref="AC10:AJ10" si="9">SUM(AC5:AC9)</f>
        <v>419.062138</v>
      </c>
      <c r="AD10" s="231">
        <f t="shared" si="9"/>
        <v>415.05197399999997</v>
      </c>
      <c r="AE10" s="231">
        <f t="shared" si="9"/>
        <v>390.99099000000001</v>
      </c>
      <c r="AF10" s="231">
        <f t="shared" si="9"/>
        <v>372.94525199999998</v>
      </c>
      <c r="AG10" s="231">
        <f t="shared" si="9"/>
        <v>613.08644228571416</v>
      </c>
      <c r="AH10" s="231">
        <f t="shared" si="9"/>
        <v>284.72164400000003</v>
      </c>
      <c r="AI10" s="231">
        <f t="shared" si="9"/>
        <v>228.57934800000004</v>
      </c>
      <c r="AJ10" s="231">
        <f t="shared" si="9"/>
        <v>2724.4377882857143</v>
      </c>
      <c r="AK10" s="231">
        <f t="shared" si="1"/>
        <v>10897.751153142857</v>
      </c>
      <c r="AL10" s="231">
        <f t="shared" si="2"/>
        <v>141670.76499085713</v>
      </c>
    </row>
    <row r="11" spans="2:38" ht="19.5" customHeight="1" x14ac:dyDescent="0.35">
      <c r="B11" s="228" t="s">
        <v>163</v>
      </c>
      <c r="C11" s="229">
        <f>'Monday Est.'!I22+'Monday Est.'!I36+'Monday Est.'!I50+'Monday Est.'!I65+'Monday Est.'!I79</f>
        <v>274.24885999999998</v>
      </c>
      <c r="D11" s="229">
        <f>'Tuesday Est.'!I22+'Tuesday Est.'!I37+'Tuesday Est.'!I52+'Tuesday Est.'!I67+'Tuesday Est.'!I82</f>
        <v>269.61366800000002</v>
      </c>
      <c r="E11" s="229">
        <f>'Wednesday Est.'!I22+'Wednesday Est.'!I37+'Wednesday Est.'!I52+'Wednesday Est.'!I67+'Wednesday Est.'!I82</f>
        <v>251.58792133333333</v>
      </c>
      <c r="F11" s="229">
        <f>'Thursday Est.'!I22+'Thursday Est.'!I37+'Thursday Est.'!I52+'Thursday Est.'!I67+'Thursday Est.'!I82</f>
        <v>251.58792133333333</v>
      </c>
      <c r="G11" s="229">
        <f>'Friday Est'!I22+'Friday Est'!I37+'Friday Est'!I52+'Friday Est'!I67+'Friday Est'!I82</f>
        <v>185.15016933333331</v>
      </c>
      <c r="H11" s="229">
        <f>'Saturday Est.'!I22+'Saturday Est.'!I38+'Saturday Est.'!I54+'Saturday Est.'!I70+'Saturday Est.'!I86</f>
        <v>111.244608</v>
      </c>
      <c r="I11" s="229">
        <f>'Sunday Est.'!I22+'Sunday Est.'!I37+'Sunday Est.'!I52+'Sunday Est.'!I67+'Sunday Est.'!I82</f>
        <v>50.729601333333335</v>
      </c>
      <c r="J11" s="229">
        <f t="shared" si="3"/>
        <v>1394.1627493333331</v>
      </c>
      <c r="K11" s="229">
        <f t="shared" si="4"/>
        <v>5576.6509973333323</v>
      </c>
      <c r="L11" s="229">
        <f t="shared" si="5"/>
        <v>72496.462965333325</v>
      </c>
      <c r="O11" s="169" t="s">
        <v>165</v>
      </c>
      <c r="P11" s="229">
        <f>'Monday Est.'!P22+'Monday Est.'!P36+'Monday Est.'!P50+'Monday Est.'!P65+'Monday Est.'!P79</f>
        <v>49</v>
      </c>
      <c r="Q11" s="229">
        <f>'Tuesday Est.'!R22+'Tuesday Est.'!R37+'Tuesday Est.'!R52+'Tuesday Est.'!R67+'Tuesday Est.'!R82</f>
        <v>162.54427028571425</v>
      </c>
      <c r="R11" s="229">
        <f>'Wednesday Est.'!R22+'Wednesday Est.'!R37+'Wednesday Est.'!R52+'Wednesday Est.'!R67+'Wednesday Est.'!R82</f>
        <v>161.45336914285713</v>
      </c>
      <c r="S11" s="229">
        <f>'Thursday Est.'!S22+'Thursday Est.'!S37+'Thursday Est.'!S52+'Thursday Est.'!S67+'Thursday Est.'!S82</f>
        <v>157.08976457142856</v>
      </c>
      <c r="T11" s="229">
        <f>'Friday Est'!R22+'Friday Est'!R37+'Friday Est'!R52+'Friday Est'!R67+'Friday Est'!R82</f>
        <v>153.27161057142854</v>
      </c>
      <c r="U11" s="229">
        <f>'Saturday Est.'!I22+'Saturday Est.'!I38+'Saturday Est.'!I54+'Saturday Est.'!I70+'Saturday Est.'!I86</f>
        <v>111.244608</v>
      </c>
      <c r="V11" s="229">
        <f>'Sunday Est.'!R22+'Sunday Est.'!R37+'Sunday Est.'!R52+'Sunday Est.'!R67+'Sunday Est.'!R82</f>
        <v>87.817541999999975</v>
      </c>
      <c r="W11" s="232">
        <f t="shared" si="6"/>
        <v>882.42116457142833</v>
      </c>
      <c r="X11" s="231">
        <f t="shared" si="7"/>
        <v>3529.6846582857133</v>
      </c>
      <c r="Y11" s="231">
        <f t="shared" si="8"/>
        <v>45885.900557714274</v>
      </c>
    </row>
    <row r="12" spans="2:38" ht="19.5" customHeight="1" x14ac:dyDescent="0.35">
      <c r="B12" s="228" t="s">
        <v>167</v>
      </c>
      <c r="C12" s="229">
        <f>'Monday Est.'!I23+'Monday Est.'!I37+'Monday Est.'!I51+'Monday Est.'!I66+'Monday Est.'!I80</f>
        <v>548.49771999999996</v>
      </c>
      <c r="D12" s="229">
        <f>'Tuesday Est.'!I23+'Tuesday Est.'!I38+'Tuesday Est.'!I53+'Tuesday Est.'!I68+'Tuesday Est.'!I83</f>
        <v>539.22733600000004</v>
      </c>
      <c r="E12" s="229">
        <f>'Wednesday Est.'!I23+'Wednesday Est.'!I38+'Wednesday Est.'!I53+'Wednesday Est.'!I68+'Wednesday Est.'!I83</f>
        <v>503.17584266666665</v>
      </c>
      <c r="F12" s="229">
        <f>'Thursday Est.'!I23+'Thursday Est.'!I38+'Thursday Est.'!I53+'Thursday Est.'!I68+'Thursday Est.'!I83</f>
        <v>503.17584266666665</v>
      </c>
      <c r="G12" s="229">
        <f>'Friday Est'!I23+'Friday Est'!I38+'Friday Est'!I53+'Friday Est'!I68+'Friday Est'!I83</f>
        <v>370.30033866666662</v>
      </c>
      <c r="H12" s="229">
        <f>'Saturday Est.'!I23+'Saturday Est.'!I39+'Saturday Est.'!I55+'Saturday Est.'!I71+'Saturday Est.'!I87</f>
        <v>222.489216</v>
      </c>
      <c r="I12" s="229">
        <f>'Sunday Est.'!I23+'Sunday Est.'!I38+'Sunday Est.'!I53+'Sunday Est.'!I68+'Sunday Est.'!I83</f>
        <v>101.45920266666667</v>
      </c>
      <c r="J12" s="229">
        <f t="shared" si="3"/>
        <v>2788.3254986666661</v>
      </c>
      <c r="K12" s="229">
        <f t="shared" si="4"/>
        <v>11153.301994666665</v>
      </c>
      <c r="L12" s="229">
        <f t="shared" si="5"/>
        <v>144992.92593066665</v>
      </c>
      <c r="O12" s="170" t="s">
        <v>162</v>
      </c>
      <c r="P12" s="231">
        <f t="shared" ref="P12:Y12" si="10">SUM(P6:P11)</f>
        <v>200.5</v>
      </c>
      <c r="Q12" s="231">
        <f t="shared" si="10"/>
        <v>1002.3563334285711</v>
      </c>
      <c r="R12" s="231">
        <f t="shared" si="10"/>
        <v>995.62910971428562</v>
      </c>
      <c r="S12" s="231">
        <f t="shared" si="10"/>
        <v>968.72021485714276</v>
      </c>
      <c r="T12" s="231">
        <f t="shared" si="10"/>
        <v>945.17493185714261</v>
      </c>
      <c r="U12" s="231">
        <f t="shared" si="10"/>
        <v>1334.9352959999999</v>
      </c>
      <c r="V12" s="231">
        <f t="shared" si="10"/>
        <v>541.54150899999991</v>
      </c>
      <c r="W12" s="232">
        <f t="shared" si="10"/>
        <v>5988.857394857142</v>
      </c>
      <c r="X12" s="231">
        <f t="shared" si="10"/>
        <v>23955.429579428568</v>
      </c>
      <c r="Y12" s="231">
        <f t="shared" si="10"/>
        <v>311420.58453257137</v>
      </c>
    </row>
    <row r="13" spans="2:38" ht="19.5" customHeight="1" x14ac:dyDescent="0.3">
      <c r="B13" s="228" t="s">
        <v>169</v>
      </c>
      <c r="C13" s="229">
        <f>'Monday Est.'!I24+'Monday Est.'!I38+'Monday Est.'!I52+'Monday Est.'!I67+'Monday Est.'!I81</f>
        <v>137.12442999999999</v>
      </c>
      <c r="D13" s="229">
        <f>'Tuesday Est.'!I24+'Tuesday Est.'!I39+'Tuesday Est.'!I54+'Tuesday Est.'!I69+'Tuesday Est.'!I84</f>
        <v>134.80683400000001</v>
      </c>
      <c r="E13" s="229">
        <f>'Wednesday Est.'!I24+'Wednesday Est.'!I39+'Wednesday Est.'!I54+'Wednesday Est.'!I69+'Wednesday Est.'!I84</f>
        <v>125.79396066666666</v>
      </c>
      <c r="F13" s="229">
        <f>'Thursday Est.'!I24+'Thursday Est.'!I39+'Thursday Est.'!I54+'Thursday Est.'!I69+'Thursday Est.'!I84</f>
        <v>125.79396066666666</v>
      </c>
      <c r="G13" s="229">
        <f>'Friday Est'!I24+'Friday Est'!I39+'Friday Est'!I54+'Friday Est'!I69+'Friday Est'!I84</f>
        <v>92.575084666666655</v>
      </c>
      <c r="H13" s="229">
        <f>'Saturday Est.'!I24+'Saturday Est.'!I40+'Saturday Est.'!I56+'Saturday Est.'!I72+'Saturday Est.'!I88</f>
        <v>55.622304</v>
      </c>
      <c r="I13" s="229">
        <f>'Sunday Est.'!I24+'Sunday Est.'!I39+'Sunday Est.'!I54+'Sunday Est.'!I69+'Sunday Est.'!I84</f>
        <v>25.364800666666667</v>
      </c>
      <c r="J13" s="229">
        <f t="shared" si="3"/>
        <v>697.08137466666653</v>
      </c>
      <c r="K13" s="229">
        <f t="shared" si="4"/>
        <v>2788.3254986666661</v>
      </c>
      <c r="L13" s="229">
        <f t="shared" si="5"/>
        <v>36248.231482666662</v>
      </c>
    </row>
    <row r="14" spans="2:38" ht="19.5" customHeight="1" x14ac:dyDescent="0.3">
      <c r="B14" s="228" t="s">
        <v>171</v>
      </c>
      <c r="C14" s="229">
        <f>'Monday Est.'!I25+'Monday Est.'!I39+'Monday Est.'!I53+'Monday Est.'!I68+'Monday Est.'!I82</f>
        <v>137.12442999999999</v>
      </c>
      <c r="D14" s="229">
        <f>'Tuesday Est.'!I25+'Tuesday Est.'!I40+'Tuesday Est.'!I55+'Tuesday Est.'!I70+'Tuesday Est.'!I85</f>
        <v>134.80683400000001</v>
      </c>
      <c r="E14" s="229">
        <f>'Wednesday Est.'!I25+'Wednesday Est.'!I40+'Wednesday Est.'!I55+'Wednesday Est.'!I70+'Wednesday Est.'!I85</f>
        <v>125.79396066666666</v>
      </c>
      <c r="F14" s="229">
        <f>'Thursday Est.'!I25+'Thursday Est.'!I40+'Thursday Est.'!I55+'Thursday Est.'!I70+'Thursday Est.'!I85</f>
        <v>125.79396066666666</v>
      </c>
      <c r="G14" s="229">
        <f>'Friday Est'!I25+'Friday Est'!I40+'Friday Est'!I55+'Friday Est'!I70+'Friday Est'!I85</f>
        <v>92.575084666666655</v>
      </c>
      <c r="H14" s="229">
        <f>'Saturday Est.'!I25+'Saturday Est.'!I41+'Saturday Est.'!I57+'Saturday Est.'!I73+'Saturday Est.'!I89</f>
        <v>55.622304</v>
      </c>
      <c r="I14" s="229">
        <f>'Sunday Est.'!I25+'Sunday Est.'!I40+'Sunday Est.'!I55+'Sunday Est.'!I70+'Sunday Est.'!I85</f>
        <v>25.364800666666667</v>
      </c>
      <c r="J14" s="229">
        <f t="shared" si="3"/>
        <v>697.08137466666653</v>
      </c>
      <c r="K14" s="229">
        <f t="shared" si="4"/>
        <v>2788.3254986666661</v>
      </c>
      <c r="L14" s="229">
        <f t="shared" si="5"/>
        <v>36248.231482666662</v>
      </c>
    </row>
    <row r="15" spans="2:38" ht="19.5" customHeight="1" x14ac:dyDescent="0.3">
      <c r="B15" s="228" t="s">
        <v>162</v>
      </c>
      <c r="C15" s="229">
        <f t="shared" ref="C15:L15" si="11">SUM(C6:C14)</f>
        <v>4113.7329</v>
      </c>
      <c r="D15" s="229">
        <f t="shared" si="11"/>
        <v>4044.2050199999999</v>
      </c>
      <c r="E15" s="229">
        <f t="shared" si="11"/>
        <v>3773.8188200000004</v>
      </c>
      <c r="F15" s="229">
        <f t="shared" si="11"/>
        <v>3773.8188200000004</v>
      </c>
      <c r="G15" s="229">
        <f t="shared" si="11"/>
        <v>2777.252539999999</v>
      </c>
      <c r="H15" s="229">
        <f t="shared" si="11"/>
        <v>1668.6691199999998</v>
      </c>
      <c r="I15" s="229">
        <f t="shared" si="11"/>
        <v>760.94402000000014</v>
      </c>
      <c r="J15" s="229">
        <f t="shared" si="11"/>
        <v>20912.44124</v>
      </c>
      <c r="K15" s="229">
        <f t="shared" si="11"/>
        <v>83649.76496</v>
      </c>
      <c r="L15" s="231">
        <f t="shared" si="11"/>
        <v>1087446.9444800001</v>
      </c>
    </row>
    <row r="16" spans="2:38" x14ac:dyDescent="0.3">
      <c r="Q16" s="233"/>
      <c r="R16" s="233"/>
      <c r="S16" s="2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Supp. info</vt:lpstr>
      <vt:lpstr>Sat. City Pop.</vt:lpstr>
      <vt:lpstr>Vehicle Infos</vt:lpstr>
      <vt:lpstr>Monday Est.</vt:lpstr>
      <vt:lpstr>Tuesday Est.</vt:lpstr>
      <vt:lpstr>Wednesday Est.</vt:lpstr>
      <vt:lpstr>Thursday Est.</vt:lpstr>
      <vt:lpstr>Friday Est</vt:lpstr>
      <vt:lpstr>Saturday Est.</vt:lpstr>
      <vt:lpstr>Sunday Est.</vt:lpstr>
      <vt:lpstr>Data Insights</vt:lpstr>
      <vt:lpstr>Tier 2 Em. per stch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ANEH</dc:creator>
  <cp:lastModifiedBy>Nkweauseh Longfor</cp:lastModifiedBy>
  <dcterms:created xsi:type="dcterms:W3CDTF">2015-06-05T18:17:20Z</dcterms:created>
  <dcterms:modified xsi:type="dcterms:W3CDTF">2026-02-20T05:16:57Z</dcterms:modified>
</cp:coreProperties>
</file>